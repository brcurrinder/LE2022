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aul/Dropbox/Hanson/MyModels/MetabolismMendota/DriverData/"/>
    </mc:Choice>
  </mc:AlternateContent>
  <xr:revisionPtr revIDLastSave="0" documentId="13_ncr:40009_{7D072F20-8C97-0543-81AC-88E90C440521}" xr6:coauthVersionLast="47" xr6:coauthVersionMax="47" xr10:uidLastSave="{00000000-0000-0000-0000-000000000000}"/>
  <bookViews>
    <workbookView xWindow="39960" yWindow="2120" windowWidth="33560" windowHeight="16440"/>
  </bookViews>
  <sheets>
    <sheet name="NTL Ice 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145" i="1" l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44" i="1"/>
  <c r="J4" i="1"/>
  <c r="L5" i="1" l="1"/>
  <c r="L4" i="1"/>
</calcChain>
</file>

<file path=xl/sharedStrings.xml><?xml version="1.0" encoding="utf-8"?>
<sst xmlns="http://schemas.openxmlformats.org/spreadsheetml/2006/main" count="1089" uniqueCount="368">
  <si>
    <t>lakeid</t>
  </si>
  <si>
    <t>season</t>
  </si>
  <si>
    <t>iceon</t>
  </si>
  <si>
    <t>ice_on</t>
  </si>
  <si>
    <t>iceoff</t>
  </si>
  <si>
    <t>ice_off</t>
  </si>
  <si>
    <t>ice_duration</t>
  </si>
  <si>
    <t>year4</t>
  </si>
  <si>
    <t>ME</t>
  </si>
  <si>
    <t>1852-1853</t>
  </si>
  <si>
    <t>1853-4-5</t>
  </si>
  <si>
    <t>1853-1854</t>
  </si>
  <si>
    <t>1853-12-27</t>
  </si>
  <si>
    <t>1855-1856</t>
  </si>
  <si>
    <t>1855-12-18</t>
  </si>
  <si>
    <t>1856-4-14</t>
  </si>
  <si>
    <t>1856-1857</t>
  </si>
  <si>
    <t>1856-12-6</t>
  </si>
  <si>
    <t>1857-5-6</t>
  </si>
  <si>
    <t>1857-1858</t>
  </si>
  <si>
    <t>1857-11-25</t>
  </si>
  <si>
    <t>1858-3-26</t>
  </si>
  <si>
    <t>1858-1859</t>
  </si>
  <si>
    <t>1858-12-8</t>
  </si>
  <si>
    <t>1859-3-14</t>
  </si>
  <si>
    <t>1859-1860</t>
  </si>
  <si>
    <t>1859-12-7</t>
  </si>
  <si>
    <t>1860-3-26</t>
  </si>
  <si>
    <t>1860-1861</t>
  </si>
  <si>
    <t>1860-12-14</t>
  </si>
  <si>
    <t>1861-4-10</t>
  </si>
  <si>
    <t>1861-1862</t>
  </si>
  <si>
    <t>1861-12-2</t>
  </si>
  <si>
    <t>1862-4-13</t>
  </si>
  <si>
    <t>1862-1863</t>
  </si>
  <si>
    <t>1862-12-26</t>
  </si>
  <si>
    <t>1863-4-9</t>
  </si>
  <si>
    <t>1863-1864</t>
  </si>
  <si>
    <t>1863-12-18</t>
  </si>
  <si>
    <t>1864-4-21</t>
  </si>
  <si>
    <t>1864-1865</t>
  </si>
  <si>
    <t>1864-12-8</t>
  </si>
  <si>
    <t>1865-4-5</t>
  </si>
  <si>
    <t>1865-1866</t>
  </si>
  <si>
    <t>1865-12-14</t>
  </si>
  <si>
    <t>1866-4-18</t>
  </si>
  <si>
    <t>1866-1867</t>
  </si>
  <si>
    <t>1866-12-18</t>
  </si>
  <si>
    <t>1867-4-20</t>
  </si>
  <si>
    <t>1867-1868</t>
  </si>
  <si>
    <t>1867-12-12</t>
  </si>
  <si>
    <t>1868-3-31</t>
  </si>
  <si>
    <t>1868-1869</t>
  </si>
  <si>
    <t>1868-12-10</t>
  </si>
  <si>
    <t>1869-4-16</t>
  </si>
  <si>
    <t>1869-1870</t>
  </si>
  <si>
    <t>1869-12-2</t>
  </si>
  <si>
    <t>1870-4-12</t>
  </si>
  <si>
    <t>1870-1871</t>
  </si>
  <si>
    <t>1870-12-24</t>
  </si>
  <si>
    <t>1871-4-2</t>
  </si>
  <si>
    <t>1871-1872</t>
  </si>
  <si>
    <t>1871-12-19</t>
  </si>
  <si>
    <t>1872-4-23</t>
  </si>
  <si>
    <t>1872-1873</t>
  </si>
  <si>
    <t>1872-11-30</t>
  </si>
  <si>
    <t>1873-4-23</t>
  </si>
  <si>
    <t>1873-1874</t>
  </si>
  <si>
    <t>1873-11-29</t>
  </si>
  <si>
    <t>1874-4-14</t>
  </si>
  <si>
    <t>1874-1875</t>
  </si>
  <si>
    <t>1874-12-10</t>
  </si>
  <si>
    <t>1875-4-15</t>
  </si>
  <si>
    <t>1875-1876</t>
  </si>
  <si>
    <t>1876-1-10</t>
  </si>
  <si>
    <t>1876-4-10</t>
  </si>
  <si>
    <t>1876-1877</t>
  </si>
  <si>
    <t>1876-12-8</t>
  </si>
  <si>
    <t>1877-4-17</t>
  </si>
  <si>
    <t>1877-1878</t>
  </si>
  <si>
    <t>1878-1-6</t>
  </si>
  <si>
    <t>1878-3-9</t>
  </si>
  <si>
    <t>1878-1879</t>
  </si>
  <si>
    <t>1878-12-21</t>
  </si>
  <si>
    <t>1879-4-12</t>
  </si>
  <si>
    <t>1879-1880</t>
  </si>
  <si>
    <t>1879-12-17</t>
  </si>
  <si>
    <t>1880-3-25</t>
  </si>
  <si>
    <t>1880-1881</t>
  </si>
  <si>
    <t>1880-11-23</t>
  </si>
  <si>
    <t>1881-5-3</t>
  </si>
  <si>
    <t>1881-1882</t>
  </si>
  <si>
    <t>1882-1-2</t>
  </si>
  <si>
    <t>1882-3-21</t>
  </si>
  <si>
    <t>1882-1883</t>
  </si>
  <si>
    <t>1882-12-10</t>
  </si>
  <si>
    <t>1883-4-13</t>
  </si>
  <si>
    <t>1883-1884</t>
  </si>
  <si>
    <t>1883-12-18</t>
  </si>
  <si>
    <t>1884-4-15</t>
  </si>
  <si>
    <t>1884-1885</t>
  </si>
  <si>
    <t>1884-12-17</t>
  </si>
  <si>
    <t>1885-4-20</t>
  </si>
  <si>
    <t>1885-1886</t>
  </si>
  <si>
    <t>1885-12-12</t>
  </si>
  <si>
    <t>1886-4-19</t>
  </si>
  <si>
    <t>1886-1887</t>
  </si>
  <si>
    <t>1886-12-5</t>
  </si>
  <si>
    <t>1887-4-15</t>
  </si>
  <si>
    <t>1887-1888</t>
  </si>
  <si>
    <t>1887-12-24</t>
  </si>
  <si>
    <t>1888-4-15</t>
  </si>
  <si>
    <t>1888-1889</t>
  </si>
  <si>
    <t>1889-1-2</t>
  </si>
  <si>
    <t>1889-3-31</t>
  </si>
  <si>
    <t>1889-1890</t>
  </si>
  <si>
    <t>1890-1-14</t>
  </si>
  <si>
    <t>1890-3-30</t>
  </si>
  <si>
    <t>1890-1891</t>
  </si>
  <si>
    <t>1890-12-26</t>
  </si>
  <si>
    <t>1891-4-16</t>
  </si>
  <si>
    <t>1891-1892</t>
  </si>
  <si>
    <t>1891-12-27</t>
  </si>
  <si>
    <t>1892-4-2</t>
  </si>
  <si>
    <t>1892-1893</t>
  </si>
  <si>
    <t>1892-12-16</t>
  </si>
  <si>
    <t>1893-4-7</t>
  </si>
  <si>
    <t>1893-1894</t>
  </si>
  <si>
    <t>1893-12-4</t>
  </si>
  <si>
    <t>1894-3-15</t>
  </si>
  <si>
    <t>1894-1895</t>
  </si>
  <si>
    <t>1894-12-28</t>
  </si>
  <si>
    <t>1895-4-8</t>
  </si>
  <si>
    <t>1895-1896</t>
  </si>
  <si>
    <t>1896-1-5</t>
  </si>
  <si>
    <t>1896-4-5</t>
  </si>
  <si>
    <t>1896-1897</t>
  </si>
  <si>
    <t>1896-12-21</t>
  </si>
  <si>
    <t>1897-4-10</t>
  </si>
  <si>
    <t>1897-1898</t>
  </si>
  <si>
    <t>1897-12-17</t>
  </si>
  <si>
    <t>1898-3-27</t>
  </si>
  <si>
    <t>1898-1899</t>
  </si>
  <si>
    <t>1898-12-9</t>
  </si>
  <si>
    <t>1899-4-18</t>
  </si>
  <si>
    <t>1899-1900</t>
  </si>
  <si>
    <t>1899-12-27</t>
  </si>
  <si>
    <t>1900-1901</t>
  </si>
  <si>
    <t>1901-1902</t>
  </si>
  <si>
    <t>1902-1903</t>
  </si>
  <si>
    <t>1903-1904</t>
  </si>
  <si>
    <t>1904-1905</t>
  </si>
  <si>
    <t>1905-1906</t>
  </si>
  <si>
    <t>1906-1907</t>
  </si>
  <si>
    <t>1907-1908</t>
  </si>
  <si>
    <t>1908-1909</t>
  </si>
  <si>
    <t>1909-1910</t>
  </si>
  <si>
    <t>1910-1911</t>
  </si>
  <si>
    <t>1911-1912</t>
  </si>
  <si>
    <t>1912-1913</t>
  </si>
  <si>
    <t>1913-1914</t>
  </si>
  <si>
    <t>1914-1915</t>
  </si>
  <si>
    <t>1915-1916</t>
  </si>
  <si>
    <t>1916-1917</t>
  </si>
  <si>
    <t>1917-1918</t>
  </si>
  <si>
    <t>1918-1919</t>
  </si>
  <si>
    <t>1919-1920</t>
  </si>
  <si>
    <t>1920-1921</t>
  </si>
  <si>
    <t>1921-1922</t>
  </si>
  <si>
    <t>1922-1923</t>
  </si>
  <si>
    <t>1923-1924</t>
  </si>
  <si>
    <t>1924-1925</t>
  </si>
  <si>
    <t>1925-1926</t>
  </si>
  <si>
    <t>1926-1927</t>
  </si>
  <si>
    <t>1927-1928</t>
  </si>
  <si>
    <t>1928-1929</t>
  </si>
  <si>
    <t>1929-1930</t>
  </si>
  <si>
    <t>1930-1931</t>
  </si>
  <si>
    <t>1931-1932</t>
  </si>
  <si>
    <t>1932-1933</t>
  </si>
  <si>
    <t>1933-1934</t>
  </si>
  <si>
    <t>1934-1935</t>
  </si>
  <si>
    <t>1935-1936</t>
  </si>
  <si>
    <t>1936-1937</t>
  </si>
  <si>
    <t>1937-1938</t>
  </si>
  <si>
    <t>1938-1939</t>
  </si>
  <si>
    <t>1939-1940</t>
  </si>
  <si>
    <t>1940-1941</t>
  </si>
  <si>
    <t>1941-1942</t>
  </si>
  <si>
    <t>1942-1943</t>
  </si>
  <si>
    <t>1943-1944</t>
  </si>
  <si>
    <t>1944-1945</t>
  </si>
  <si>
    <t>1945-1946</t>
  </si>
  <si>
    <t>1946-1947</t>
  </si>
  <si>
    <t>1947-1948</t>
  </si>
  <si>
    <t>1948-1949</t>
  </si>
  <si>
    <t>1949-1950</t>
  </si>
  <si>
    <t>1950-1951</t>
  </si>
  <si>
    <t>1951-1952</t>
  </si>
  <si>
    <t>1952-1953</t>
  </si>
  <si>
    <t>1953-1954</t>
  </si>
  <si>
    <t>1954-1955</t>
  </si>
  <si>
    <t>1955-1956</t>
  </si>
  <si>
    <t>1956-1957</t>
  </si>
  <si>
    <t>1957-1958</t>
  </si>
  <si>
    <t>1958-1959</t>
  </si>
  <si>
    <t>1959-1960</t>
  </si>
  <si>
    <t>1960-1961</t>
  </si>
  <si>
    <t>1961-1962</t>
  </si>
  <si>
    <t>1962-1963</t>
  </si>
  <si>
    <t>1963-1964</t>
  </si>
  <si>
    <t>1964-1965</t>
  </si>
  <si>
    <t>1965-1966</t>
  </si>
  <si>
    <t>1966-1967</t>
  </si>
  <si>
    <t>1967-1968</t>
  </si>
  <si>
    <t>1968-1969</t>
  </si>
  <si>
    <t>1969-1970</t>
  </si>
  <si>
    <t>1970-1971</t>
  </si>
  <si>
    <t>1971-1972</t>
  </si>
  <si>
    <t>1972-1973</t>
  </si>
  <si>
    <t>1973-1974</t>
  </si>
  <si>
    <t>1974-1975</t>
  </si>
  <si>
    <t>1975-1976</t>
  </si>
  <si>
    <t>1976-1977</t>
  </si>
  <si>
    <t>1977-1978</t>
  </si>
  <si>
    <t>1978-1979</t>
  </si>
  <si>
    <t>1979-1980</t>
  </si>
  <si>
    <t>1980-1981</t>
  </si>
  <si>
    <t>1981-1982</t>
  </si>
  <si>
    <t>1982-1983</t>
  </si>
  <si>
    <t>1983-1984</t>
  </si>
  <si>
    <t>1984-1985</t>
  </si>
  <si>
    <t>1985-1986</t>
  </si>
  <si>
    <t>1986-1987</t>
  </si>
  <si>
    <t>1987-1988</t>
  </si>
  <si>
    <t>1988-1989</t>
  </si>
  <si>
    <t>1989-1990</t>
  </si>
  <si>
    <t>1990-1991</t>
  </si>
  <si>
    <t>1991-1992</t>
  </si>
  <si>
    <t>1992-1993</t>
  </si>
  <si>
    <t>1993-1994</t>
  </si>
  <si>
    <t>1994-1995</t>
  </si>
  <si>
    <t>1995-1996</t>
  </si>
  <si>
    <t>1996-1997</t>
  </si>
  <si>
    <t>1997-1998</t>
  </si>
  <si>
    <t>1998-1999</t>
  </si>
  <si>
    <t>1999-2000</t>
  </si>
  <si>
    <t>2000-2001</t>
  </si>
  <si>
    <t>2001-2002</t>
  </si>
  <si>
    <t>2002-2003</t>
  </si>
  <si>
    <t>2003-2004</t>
  </si>
  <si>
    <t>2004-2005</t>
  </si>
  <si>
    <t>2005-2006</t>
  </si>
  <si>
    <t>2006-2007</t>
  </si>
  <si>
    <t>2007-2008</t>
  </si>
  <si>
    <t>2008-2009</t>
  </si>
  <si>
    <t>2009-2010</t>
  </si>
  <si>
    <t>2010-2011</t>
  </si>
  <si>
    <t>2011-2012</t>
  </si>
  <si>
    <t>2012-2013</t>
  </si>
  <si>
    <t>2013-2014</t>
  </si>
  <si>
    <t>2014-2015</t>
  </si>
  <si>
    <t>2015-2016</t>
  </si>
  <si>
    <t>2016-2017</t>
  </si>
  <si>
    <t>2017-2018</t>
  </si>
  <si>
    <t>2018-2019</t>
  </si>
  <si>
    <t>2019-2020</t>
  </si>
  <si>
    <t>MO</t>
  </si>
  <si>
    <t>1851-1852</t>
  </si>
  <si>
    <t>1851-12-13</t>
  </si>
  <si>
    <t>1852-3-25</t>
  </si>
  <si>
    <t>1853-12-21</t>
  </si>
  <si>
    <t>1856-12-4</t>
  </si>
  <si>
    <t>1857-5-4</t>
  </si>
  <si>
    <t>1857-11-23</t>
  </si>
  <si>
    <t>1858-3-22</t>
  </si>
  <si>
    <t>1858-12-11</t>
  </si>
  <si>
    <t>1859-3-15</t>
  </si>
  <si>
    <t>1859-12-6</t>
  </si>
  <si>
    <t>1860-12-2</t>
  </si>
  <si>
    <t>1861-12-1</t>
  </si>
  <si>
    <t>1862-12-7</t>
  </si>
  <si>
    <t>1863-4-5</t>
  </si>
  <si>
    <t>1863-12-11</t>
  </si>
  <si>
    <t>1864-4-20</t>
  </si>
  <si>
    <t>1864-12-9</t>
  </si>
  <si>
    <t>1866-12-12</t>
  </si>
  <si>
    <t>1867-4-19</t>
  </si>
  <si>
    <t>1867-12-14</t>
  </si>
  <si>
    <t>1869-4-15</t>
  </si>
  <si>
    <t>1869-11-24</t>
  </si>
  <si>
    <t>1870-4-11</t>
  </si>
  <si>
    <t>1870-12-22</t>
  </si>
  <si>
    <t>1871-4-1</t>
  </si>
  <si>
    <t>1871-11-30</t>
  </si>
  <si>
    <t>1872-4-20</t>
  </si>
  <si>
    <t>1872-11-28</t>
  </si>
  <si>
    <t>1873-4-18</t>
  </si>
  <si>
    <t>1874-12-12</t>
  </si>
  <si>
    <t>1875-4-14</t>
  </si>
  <si>
    <t>1876-12-5</t>
  </si>
  <si>
    <t>1877-4-16</t>
  </si>
  <si>
    <t>1878-12-16</t>
  </si>
  <si>
    <t>1879-4-10</t>
  </si>
  <si>
    <t>1879-12-16</t>
  </si>
  <si>
    <t>1880-3-18</t>
  </si>
  <si>
    <t>1880-11-22</t>
  </si>
  <si>
    <t>1881-5-1</t>
  </si>
  <si>
    <t>1882-1-1</t>
  </si>
  <si>
    <t>1882-3-19</t>
  </si>
  <si>
    <t>1882-12-7</t>
  </si>
  <si>
    <t>1883-12-17</t>
  </si>
  <si>
    <t>1885-4-17</t>
  </si>
  <si>
    <t>1885-12-7</t>
  </si>
  <si>
    <t>1886-4-17</t>
  </si>
  <si>
    <t>1887-11-28</t>
  </si>
  <si>
    <t>1888-4-13</t>
  </si>
  <si>
    <t>1888-12-29</t>
  </si>
  <si>
    <t>1889-3-26</t>
  </si>
  <si>
    <t>1890-3-29</t>
  </si>
  <si>
    <t>1890-12-24</t>
  </si>
  <si>
    <t>1892-4-1</t>
  </si>
  <si>
    <t>1892-12-11</t>
  </si>
  <si>
    <t>1893-12-2</t>
  </si>
  <si>
    <t>1894-3-11</t>
  </si>
  <si>
    <t>1894-12-25</t>
  </si>
  <si>
    <t>1895-12-4</t>
  </si>
  <si>
    <t>1896-4-1</t>
  </si>
  <si>
    <t>1896-12-3</t>
  </si>
  <si>
    <t>1897-4-5</t>
  </si>
  <si>
    <t>1897-12-15</t>
  </si>
  <si>
    <t>1898-3-26</t>
  </si>
  <si>
    <t>1898-12-7</t>
  </si>
  <si>
    <t>1899-4-15</t>
  </si>
  <si>
    <t>1899-12-25</t>
  </si>
  <si>
    <t>WI</t>
  </si>
  <si>
    <t>1877-12-29</t>
  </si>
  <si>
    <t>1878-12-6</t>
  </si>
  <si>
    <t>1879-3-29</t>
  </si>
  <si>
    <t>1879-11-19</t>
  </si>
  <si>
    <t>1880-3-23</t>
  </si>
  <si>
    <t>1880-11-16</t>
  </si>
  <si>
    <t>1881-4-29</t>
  </si>
  <si>
    <t>1881-11-20</t>
  </si>
  <si>
    <t>1882-3-2</t>
  </si>
  <si>
    <t>1882-12-2</t>
  </si>
  <si>
    <t>1883-4-10</t>
  </si>
  <si>
    <t>1883-11-15</t>
  </si>
  <si>
    <t>1884-4-13</t>
  </si>
  <si>
    <t>1884-11-24</t>
  </si>
  <si>
    <t>1885-4-13</t>
  </si>
  <si>
    <t>1885-12-5</t>
  </si>
  <si>
    <t>1886-4-15</t>
  </si>
  <si>
    <t>1886-11-24</t>
  </si>
  <si>
    <t>1887-11-20</t>
  </si>
  <si>
    <t>1888-12-12</t>
  </si>
  <si>
    <t>1889-3-24</t>
  </si>
  <si>
    <t>1890-3-24</t>
  </si>
  <si>
    <t>1890-12-4</t>
  </si>
  <si>
    <t>1892-11-18</t>
  </si>
  <si>
    <t>1893-4-5</t>
  </si>
  <si>
    <t>1893-11-17</t>
  </si>
  <si>
    <t>1894-3-10</t>
  </si>
  <si>
    <t>1894-11-15</t>
  </si>
  <si>
    <t>1896-3-30</t>
  </si>
  <si>
    <t>Mean ice duration 1995 - 2015</t>
  </si>
  <si>
    <t>SD ice duration 1995 - 2015</t>
  </si>
  <si>
    <t>IceOffJulian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</si>
</sst>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8" formatCode="0.0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202124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4" fontId="0" fillId="0" borderId="0" xfId="0" applyNumberFormat="1"/>
    <xf numFmtId="168" fontId="0" fillId="0" borderId="0" xfId="0" applyNumberFormat="1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'NTL Ice data'!$I$1</c:f>
              <c:strCache>
                <c:ptCount val="1"/>
                <c:pt idx="0">
                  <c:v>ice_duration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'NTL Ice data'!$H$2:$H$432</c:f>
              <c:numCache>
                <c:formatCode>General</c:formatCode>
                <c:ptCount val="431"/>
                <c:pt idx="0">
                  <c:v>1852</c:v>
                </c:pt>
                <c:pt idx="1">
                  <c:v>1853</c:v>
                </c:pt>
                <c:pt idx="2">
                  <c:v>1855</c:v>
                </c:pt>
                <c:pt idx="3">
                  <c:v>1856</c:v>
                </c:pt>
                <c:pt idx="4">
                  <c:v>1857</c:v>
                </c:pt>
                <c:pt idx="5">
                  <c:v>1858</c:v>
                </c:pt>
                <c:pt idx="6">
                  <c:v>1859</c:v>
                </c:pt>
                <c:pt idx="7">
                  <c:v>1860</c:v>
                </c:pt>
                <c:pt idx="8">
                  <c:v>1861</c:v>
                </c:pt>
                <c:pt idx="9">
                  <c:v>1862</c:v>
                </c:pt>
                <c:pt idx="10">
                  <c:v>1863</c:v>
                </c:pt>
                <c:pt idx="11">
                  <c:v>1864</c:v>
                </c:pt>
                <c:pt idx="12">
                  <c:v>1865</c:v>
                </c:pt>
                <c:pt idx="13">
                  <c:v>1866</c:v>
                </c:pt>
                <c:pt idx="14">
                  <c:v>1867</c:v>
                </c:pt>
                <c:pt idx="15">
                  <c:v>1868</c:v>
                </c:pt>
                <c:pt idx="16">
                  <c:v>1869</c:v>
                </c:pt>
                <c:pt idx="17">
                  <c:v>1870</c:v>
                </c:pt>
                <c:pt idx="18">
                  <c:v>1871</c:v>
                </c:pt>
                <c:pt idx="19">
                  <c:v>1872</c:v>
                </c:pt>
                <c:pt idx="20">
                  <c:v>1873</c:v>
                </c:pt>
                <c:pt idx="21">
                  <c:v>1874</c:v>
                </c:pt>
                <c:pt idx="22">
                  <c:v>1875</c:v>
                </c:pt>
                <c:pt idx="23">
                  <c:v>1876</c:v>
                </c:pt>
                <c:pt idx="24">
                  <c:v>1877</c:v>
                </c:pt>
                <c:pt idx="25">
                  <c:v>1878</c:v>
                </c:pt>
                <c:pt idx="26">
                  <c:v>1879</c:v>
                </c:pt>
                <c:pt idx="27">
                  <c:v>1880</c:v>
                </c:pt>
                <c:pt idx="28">
                  <c:v>1881</c:v>
                </c:pt>
                <c:pt idx="29">
                  <c:v>1882</c:v>
                </c:pt>
                <c:pt idx="30">
                  <c:v>1883</c:v>
                </c:pt>
                <c:pt idx="31">
                  <c:v>1884</c:v>
                </c:pt>
                <c:pt idx="32">
                  <c:v>1885</c:v>
                </c:pt>
                <c:pt idx="33">
                  <c:v>1886</c:v>
                </c:pt>
                <c:pt idx="34">
                  <c:v>1887</c:v>
                </c:pt>
                <c:pt idx="35">
                  <c:v>1888</c:v>
                </c:pt>
                <c:pt idx="36">
                  <c:v>1889</c:v>
                </c:pt>
                <c:pt idx="37">
                  <c:v>1890</c:v>
                </c:pt>
                <c:pt idx="38">
                  <c:v>1891</c:v>
                </c:pt>
                <c:pt idx="39">
                  <c:v>1892</c:v>
                </c:pt>
                <c:pt idx="40">
                  <c:v>1893</c:v>
                </c:pt>
                <c:pt idx="41">
                  <c:v>1894</c:v>
                </c:pt>
                <c:pt idx="42">
                  <c:v>1895</c:v>
                </c:pt>
                <c:pt idx="43">
                  <c:v>1896</c:v>
                </c:pt>
                <c:pt idx="44">
                  <c:v>1897</c:v>
                </c:pt>
                <c:pt idx="45">
                  <c:v>1898</c:v>
                </c:pt>
                <c:pt idx="46">
                  <c:v>1899</c:v>
                </c:pt>
                <c:pt idx="47">
                  <c:v>1900</c:v>
                </c:pt>
                <c:pt idx="48">
                  <c:v>1901</c:v>
                </c:pt>
                <c:pt idx="49">
                  <c:v>1902</c:v>
                </c:pt>
                <c:pt idx="50">
                  <c:v>1903</c:v>
                </c:pt>
                <c:pt idx="51">
                  <c:v>1904</c:v>
                </c:pt>
                <c:pt idx="52">
                  <c:v>1905</c:v>
                </c:pt>
                <c:pt idx="53">
                  <c:v>1906</c:v>
                </c:pt>
                <c:pt idx="54">
                  <c:v>1907</c:v>
                </c:pt>
                <c:pt idx="55">
                  <c:v>1908</c:v>
                </c:pt>
                <c:pt idx="56">
                  <c:v>1909</c:v>
                </c:pt>
                <c:pt idx="57">
                  <c:v>1910</c:v>
                </c:pt>
                <c:pt idx="58">
                  <c:v>1911</c:v>
                </c:pt>
                <c:pt idx="59">
                  <c:v>1912</c:v>
                </c:pt>
                <c:pt idx="60">
                  <c:v>1913</c:v>
                </c:pt>
                <c:pt idx="61">
                  <c:v>1914</c:v>
                </c:pt>
                <c:pt idx="62">
                  <c:v>1915</c:v>
                </c:pt>
                <c:pt idx="63">
                  <c:v>1916</c:v>
                </c:pt>
                <c:pt idx="64">
                  <c:v>1917</c:v>
                </c:pt>
                <c:pt idx="65">
                  <c:v>1918</c:v>
                </c:pt>
                <c:pt idx="66">
                  <c:v>1919</c:v>
                </c:pt>
                <c:pt idx="67">
                  <c:v>1920</c:v>
                </c:pt>
                <c:pt idx="68">
                  <c:v>1921</c:v>
                </c:pt>
                <c:pt idx="69">
                  <c:v>1922</c:v>
                </c:pt>
                <c:pt idx="70">
                  <c:v>1923</c:v>
                </c:pt>
                <c:pt idx="71">
                  <c:v>1924</c:v>
                </c:pt>
                <c:pt idx="72">
                  <c:v>1925</c:v>
                </c:pt>
                <c:pt idx="73">
                  <c:v>1926</c:v>
                </c:pt>
                <c:pt idx="74">
                  <c:v>1927</c:v>
                </c:pt>
                <c:pt idx="75">
                  <c:v>1928</c:v>
                </c:pt>
                <c:pt idx="76">
                  <c:v>1929</c:v>
                </c:pt>
                <c:pt idx="77">
                  <c:v>1930</c:v>
                </c:pt>
                <c:pt idx="78">
                  <c:v>1931</c:v>
                </c:pt>
                <c:pt idx="79">
                  <c:v>1932</c:v>
                </c:pt>
                <c:pt idx="80">
                  <c:v>1933</c:v>
                </c:pt>
                <c:pt idx="81">
                  <c:v>1934</c:v>
                </c:pt>
                <c:pt idx="82">
                  <c:v>1935</c:v>
                </c:pt>
                <c:pt idx="83">
                  <c:v>1936</c:v>
                </c:pt>
                <c:pt idx="84">
                  <c:v>1937</c:v>
                </c:pt>
                <c:pt idx="85">
                  <c:v>1938</c:v>
                </c:pt>
                <c:pt idx="86">
                  <c:v>1939</c:v>
                </c:pt>
                <c:pt idx="87">
                  <c:v>1940</c:v>
                </c:pt>
                <c:pt idx="88">
                  <c:v>1941</c:v>
                </c:pt>
                <c:pt idx="89">
                  <c:v>1942</c:v>
                </c:pt>
                <c:pt idx="90">
                  <c:v>1943</c:v>
                </c:pt>
                <c:pt idx="91">
                  <c:v>1944</c:v>
                </c:pt>
                <c:pt idx="92">
                  <c:v>1945</c:v>
                </c:pt>
                <c:pt idx="93">
                  <c:v>1946</c:v>
                </c:pt>
                <c:pt idx="94">
                  <c:v>1947</c:v>
                </c:pt>
                <c:pt idx="95">
                  <c:v>1948</c:v>
                </c:pt>
                <c:pt idx="96">
                  <c:v>1949</c:v>
                </c:pt>
                <c:pt idx="97">
                  <c:v>1950</c:v>
                </c:pt>
                <c:pt idx="98">
                  <c:v>1951</c:v>
                </c:pt>
                <c:pt idx="99">
                  <c:v>1952</c:v>
                </c:pt>
                <c:pt idx="100">
                  <c:v>1953</c:v>
                </c:pt>
                <c:pt idx="101">
                  <c:v>1954</c:v>
                </c:pt>
                <c:pt idx="102">
                  <c:v>1955</c:v>
                </c:pt>
                <c:pt idx="103">
                  <c:v>1956</c:v>
                </c:pt>
                <c:pt idx="104">
                  <c:v>1957</c:v>
                </c:pt>
                <c:pt idx="105">
                  <c:v>1958</c:v>
                </c:pt>
                <c:pt idx="106">
                  <c:v>1959</c:v>
                </c:pt>
                <c:pt idx="107">
                  <c:v>1960</c:v>
                </c:pt>
                <c:pt idx="108">
                  <c:v>1961</c:v>
                </c:pt>
                <c:pt idx="109">
                  <c:v>1962</c:v>
                </c:pt>
                <c:pt idx="110">
                  <c:v>1963</c:v>
                </c:pt>
                <c:pt idx="111">
                  <c:v>1964</c:v>
                </c:pt>
                <c:pt idx="112">
                  <c:v>1965</c:v>
                </c:pt>
                <c:pt idx="113">
                  <c:v>1966</c:v>
                </c:pt>
                <c:pt idx="114">
                  <c:v>1967</c:v>
                </c:pt>
                <c:pt idx="115">
                  <c:v>1968</c:v>
                </c:pt>
                <c:pt idx="116">
                  <c:v>1969</c:v>
                </c:pt>
                <c:pt idx="117">
                  <c:v>1970</c:v>
                </c:pt>
                <c:pt idx="118">
                  <c:v>1971</c:v>
                </c:pt>
                <c:pt idx="119">
                  <c:v>1972</c:v>
                </c:pt>
                <c:pt idx="120">
                  <c:v>1973</c:v>
                </c:pt>
                <c:pt idx="121">
                  <c:v>1974</c:v>
                </c:pt>
                <c:pt idx="122">
                  <c:v>1975</c:v>
                </c:pt>
                <c:pt idx="123">
                  <c:v>1976</c:v>
                </c:pt>
                <c:pt idx="124">
                  <c:v>1977</c:v>
                </c:pt>
                <c:pt idx="125">
                  <c:v>1978</c:v>
                </c:pt>
                <c:pt idx="126">
                  <c:v>1979</c:v>
                </c:pt>
                <c:pt idx="127">
                  <c:v>1980</c:v>
                </c:pt>
                <c:pt idx="128">
                  <c:v>1981</c:v>
                </c:pt>
                <c:pt idx="129">
                  <c:v>1982</c:v>
                </c:pt>
                <c:pt idx="130">
                  <c:v>1983</c:v>
                </c:pt>
                <c:pt idx="131">
                  <c:v>1984</c:v>
                </c:pt>
                <c:pt idx="132">
                  <c:v>1985</c:v>
                </c:pt>
                <c:pt idx="133">
                  <c:v>1986</c:v>
                </c:pt>
                <c:pt idx="134">
                  <c:v>1987</c:v>
                </c:pt>
                <c:pt idx="135">
                  <c:v>1988</c:v>
                </c:pt>
                <c:pt idx="136">
                  <c:v>1989</c:v>
                </c:pt>
                <c:pt idx="137">
                  <c:v>1990</c:v>
                </c:pt>
                <c:pt idx="138">
                  <c:v>1991</c:v>
                </c:pt>
                <c:pt idx="139">
                  <c:v>1992</c:v>
                </c:pt>
                <c:pt idx="140">
                  <c:v>1993</c:v>
                </c:pt>
                <c:pt idx="141">
                  <c:v>1994</c:v>
                </c:pt>
                <c:pt idx="142">
                  <c:v>1995</c:v>
                </c:pt>
                <c:pt idx="143">
                  <c:v>1996</c:v>
                </c:pt>
                <c:pt idx="144">
                  <c:v>1997</c:v>
                </c:pt>
                <c:pt idx="145">
                  <c:v>1998</c:v>
                </c:pt>
                <c:pt idx="146">
                  <c:v>1999</c:v>
                </c:pt>
                <c:pt idx="147">
                  <c:v>2000</c:v>
                </c:pt>
                <c:pt idx="148">
                  <c:v>2001</c:v>
                </c:pt>
                <c:pt idx="149">
                  <c:v>2002</c:v>
                </c:pt>
                <c:pt idx="150">
                  <c:v>2003</c:v>
                </c:pt>
                <c:pt idx="151">
                  <c:v>2004</c:v>
                </c:pt>
                <c:pt idx="152">
                  <c:v>2005</c:v>
                </c:pt>
                <c:pt idx="153">
                  <c:v>2006</c:v>
                </c:pt>
                <c:pt idx="154">
                  <c:v>2007</c:v>
                </c:pt>
                <c:pt idx="155">
                  <c:v>2008</c:v>
                </c:pt>
                <c:pt idx="156">
                  <c:v>2009</c:v>
                </c:pt>
                <c:pt idx="157">
                  <c:v>2010</c:v>
                </c:pt>
                <c:pt idx="158">
                  <c:v>2011</c:v>
                </c:pt>
                <c:pt idx="159">
                  <c:v>2012</c:v>
                </c:pt>
                <c:pt idx="160">
                  <c:v>2013</c:v>
                </c:pt>
                <c:pt idx="161">
                  <c:v>2014</c:v>
                </c:pt>
                <c:pt idx="162">
                  <c:v>2015</c:v>
                </c:pt>
                <c:pt idx="163">
                  <c:v>2016</c:v>
                </c:pt>
                <c:pt idx="164">
                  <c:v>2017</c:v>
                </c:pt>
                <c:pt idx="165">
                  <c:v>2018</c:v>
                </c:pt>
                <c:pt idx="166">
                  <c:v>2019</c:v>
                </c:pt>
                <c:pt idx="167">
                  <c:v>1851</c:v>
                </c:pt>
                <c:pt idx="168">
                  <c:v>1853</c:v>
                </c:pt>
                <c:pt idx="169">
                  <c:v>1855</c:v>
                </c:pt>
                <c:pt idx="170">
                  <c:v>1856</c:v>
                </c:pt>
                <c:pt idx="171">
                  <c:v>1857</c:v>
                </c:pt>
                <c:pt idx="172">
                  <c:v>1858</c:v>
                </c:pt>
                <c:pt idx="173">
                  <c:v>1859</c:v>
                </c:pt>
                <c:pt idx="174">
                  <c:v>1860</c:v>
                </c:pt>
                <c:pt idx="175">
                  <c:v>1861</c:v>
                </c:pt>
                <c:pt idx="176">
                  <c:v>1862</c:v>
                </c:pt>
                <c:pt idx="177">
                  <c:v>1863</c:v>
                </c:pt>
                <c:pt idx="178">
                  <c:v>1864</c:v>
                </c:pt>
                <c:pt idx="179">
                  <c:v>1865</c:v>
                </c:pt>
                <c:pt idx="180">
                  <c:v>1866</c:v>
                </c:pt>
                <c:pt idx="181">
                  <c:v>1867</c:v>
                </c:pt>
                <c:pt idx="182">
                  <c:v>1868</c:v>
                </c:pt>
                <c:pt idx="183">
                  <c:v>1869</c:v>
                </c:pt>
                <c:pt idx="184">
                  <c:v>1870</c:v>
                </c:pt>
                <c:pt idx="185">
                  <c:v>1871</c:v>
                </c:pt>
                <c:pt idx="186">
                  <c:v>1872</c:v>
                </c:pt>
                <c:pt idx="187">
                  <c:v>1873</c:v>
                </c:pt>
                <c:pt idx="188">
                  <c:v>1874</c:v>
                </c:pt>
                <c:pt idx="189">
                  <c:v>1875</c:v>
                </c:pt>
                <c:pt idx="190">
                  <c:v>1876</c:v>
                </c:pt>
                <c:pt idx="191">
                  <c:v>1877</c:v>
                </c:pt>
                <c:pt idx="192">
                  <c:v>1878</c:v>
                </c:pt>
                <c:pt idx="193">
                  <c:v>1879</c:v>
                </c:pt>
                <c:pt idx="194">
                  <c:v>1880</c:v>
                </c:pt>
                <c:pt idx="195">
                  <c:v>1881</c:v>
                </c:pt>
                <c:pt idx="196">
                  <c:v>1882</c:v>
                </c:pt>
                <c:pt idx="197">
                  <c:v>1883</c:v>
                </c:pt>
                <c:pt idx="198">
                  <c:v>1884</c:v>
                </c:pt>
                <c:pt idx="199">
                  <c:v>1885</c:v>
                </c:pt>
                <c:pt idx="200">
                  <c:v>1886</c:v>
                </c:pt>
                <c:pt idx="201">
                  <c:v>1887</c:v>
                </c:pt>
                <c:pt idx="202">
                  <c:v>1888</c:v>
                </c:pt>
                <c:pt idx="203">
                  <c:v>1889</c:v>
                </c:pt>
                <c:pt idx="204">
                  <c:v>1890</c:v>
                </c:pt>
                <c:pt idx="205">
                  <c:v>1891</c:v>
                </c:pt>
                <c:pt idx="206">
                  <c:v>1892</c:v>
                </c:pt>
                <c:pt idx="207">
                  <c:v>1893</c:v>
                </c:pt>
                <c:pt idx="208">
                  <c:v>1894</c:v>
                </c:pt>
                <c:pt idx="209">
                  <c:v>1895</c:v>
                </c:pt>
                <c:pt idx="210">
                  <c:v>1896</c:v>
                </c:pt>
                <c:pt idx="211">
                  <c:v>1897</c:v>
                </c:pt>
                <c:pt idx="212">
                  <c:v>1898</c:v>
                </c:pt>
                <c:pt idx="213">
                  <c:v>1899</c:v>
                </c:pt>
                <c:pt idx="214">
                  <c:v>1900</c:v>
                </c:pt>
                <c:pt idx="215">
                  <c:v>1901</c:v>
                </c:pt>
                <c:pt idx="216">
                  <c:v>1902</c:v>
                </c:pt>
                <c:pt idx="217">
                  <c:v>1903</c:v>
                </c:pt>
                <c:pt idx="218">
                  <c:v>1904</c:v>
                </c:pt>
                <c:pt idx="219">
                  <c:v>1905</c:v>
                </c:pt>
                <c:pt idx="220">
                  <c:v>1906</c:v>
                </c:pt>
                <c:pt idx="221">
                  <c:v>1907</c:v>
                </c:pt>
                <c:pt idx="222">
                  <c:v>1908</c:v>
                </c:pt>
                <c:pt idx="223">
                  <c:v>1909</c:v>
                </c:pt>
                <c:pt idx="224">
                  <c:v>1910</c:v>
                </c:pt>
                <c:pt idx="225">
                  <c:v>1911</c:v>
                </c:pt>
                <c:pt idx="226">
                  <c:v>1912</c:v>
                </c:pt>
                <c:pt idx="227">
                  <c:v>1913</c:v>
                </c:pt>
                <c:pt idx="228">
                  <c:v>1914</c:v>
                </c:pt>
                <c:pt idx="229">
                  <c:v>1915</c:v>
                </c:pt>
                <c:pt idx="230">
                  <c:v>1916</c:v>
                </c:pt>
                <c:pt idx="231">
                  <c:v>1917</c:v>
                </c:pt>
                <c:pt idx="232">
                  <c:v>1918</c:v>
                </c:pt>
                <c:pt idx="233">
                  <c:v>1919</c:v>
                </c:pt>
                <c:pt idx="234">
                  <c:v>1920</c:v>
                </c:pt>
                <c:pt idx="235">
                  <c:v>1921</c:v>
                </c:pt>
                <c:pt idx="236">
                  <c:v>1922</c:v>
                </c:pt>
                <c:pt idx="237">
                  <c:v>1923</c:v>
                </c:pt>
                <c:pt idx="238">
                  <c:v>1924</c:v>
                </c:pt>
                <c:pt idx="239">
                  <c:v>1925</c:v>
                </c:pt>
                <c:pt idx="240">
                  <c:v>1926</c:v>
                </c:pt>
                <c:pt idx="241">
                  <c:v>1927</c:v>
                </c:pt>
                <c:pt idx="242">
                  <c:v>1928</c:v>
                </c:pt>
                <c:pt idx="243">
                  <c:v>1929</c:v>
                </c:pt>
                <c:pt idx="244">
                  <c:v>1930</c:v>
                </c:pt>
                <c:pt idx="245">
                  <c:v>1931</c:v>
                </c:pt>
                <c:pt idx="246">
                  <c:v>1932</c:v>
                </c:pt>
                <c:pt idx="247">
                  <c:v>1933</c:v>
                </c:pt>
                <c:pt idx="248">
                  <c:v>1934</c:v>
                </c:pt>
                <c:pt idx="249">
                  <c:v>1935</c:v>
                </c:pt>
                <c:pt idx="250">
                  <c:v>1936</c:v>
                </c:pt>
                <c:pt idx="251">
                  <c:v>1937</c:v>
                </c:pt>
                <c:pt idx="252">
                  <c:v>1938</c:v>
                </c:pt>
                <c:pt idx="253">
                  <c:v>1939</c:v>
                </c:pt>
                <c:pt idx="254">
                  <c:v>1940</c:v>
                </c:pt>
                <c:pt idx="255">
                  <c:v>1941</c:v>
                </c:pt>
                <c:pt idx="256">
                  <c:v>1942</c:v>
                </c:pt>
                <c:pt idx="257">
                  <c:v>1943</c:v>
                </c:pt>
                <c:pt idx="258">
                  <c:v>1944</c:v>
                </c:pt>
                <c:pt idx="259">
                  <c:v>1945</c:v>
                </c:pt>
                <c:pt idx="260">
                  <c:v>1946</c:v>
                </c:pt>
                <c:pt idx="261">
                  <c:v>1947</c:v>
                </c:pt>
                <c:pt idx="262">
                  <c:v>1948</c:v>
                </c:pt>
                <c:pt idx="263">
                  <c:v>1949</c:v>
                </c:pt>
                <c:pt idx="264">
                  <c:v>1950</c:v>
                </c:pt>
                <c:pt idx="265">
                  <c:v>1951</c:v>
                </c:pt>
                <c:pt idx="266">
                  <c:v>1952</c:v>
                </c:pt>
                <c:pt idx="267">
                  <c:v>1953</c:v>
                </c:pt>
                <c:pt idx="268">
                  <c:v>1954</c:v>
                </c:pt>
                <c:pt idx="269">
                  <c:v>1955</c:v>
                </c:pt>
                <c:pt idx="270">
                  <c:v>1956</c:v>
                </c:pt>
                <c:pt idx="271">
                  <c:v>1957</c:v>
                </c:pt>
                <c:pt idx="272">
                  <c:v>1958</c:v>
                </c:pt>
                <c:pt idx="273">
                  <c:v>1959</c:v>
                </c:pt>
                <c:pt idx="274">
                  <c:v>1960</c:v>
                </c:pt>
                <c:pt idx="275">
                  <c:v>1961</c:v>
                </c:pt>
                <c:pt idx="276">
                  <c:v>1962</c:v>
                </c:pt>
                <c:pt idx="277">
                  <c:v>1963</c:v>
                </c:pt>
                <c:pt idx="278">
                  <c:v>1964</c:v>
                </c:pt>
                <c:pt idx="279">
                  <c:v>1965</c:v>
                </c:pt>
                <c:pt idx="280">
                  <c:v>1966</c:v>
                </c:pt>
                <c:pt idx="281">
                  <c:v>1967</c:v>
                </c:pt>
                <c:pt idx="282">
                  <c:v>1968</c:v>
                </c:pt>
                <c:pt idx="283">
                  <c:v>1969</c:v>
                </c:pt>
                <c:pt idx="284">
                  <c:v>1970</c:v>
                </c:pt>
                <c:pt idx="285">
                  <c:v>1971</c:v>
                </c:pt>
                <c:pt idx="286">
                  <c:v>1972</c:v>
                </c:pt>
                <c:pt idx="287">
                  <c:v>1973</c:v>
                </c:pt>
                <c:pt idx="288">
                  <c:v>1974</c:v>
                </c:pt>
                <c:pt idx="289">
                  <c:v>1975</c:v>
                </c:pt>
                <c:pt idx="290">
                  <c:v>1976</c:v>
                </c:pt>
                <c:pt idx="291">
                  <c:v>1977</c:v>
                </c:pt>
                <c:pt idx="292">
                  <c:v>1978</c:v>
                </c:pt>
                <c:pt idx="293">
                  <c:v>1979</c:v>
                </c:pt>
                <c:pt idx="294">
                  <c:v>1980</c:v>
                </c:pt>
                <c:pt idx="295">
                  <c:v>1981</c:v>
                </c:pt>
                <c:pt idx="296">
                  <c:v>1982</c:v>
                </c:pt>
                <c:pt idx="297">
                  <c:v>1983</c:v>
                </c:pt>
                <c:pt idx="298">
                  <c:v>1984</c:v>
                </c:pt>
                <c:pt idx="299">
                  <c:v>1985</c:v>
                </c:pt>
                <c:pt idx="300">
                  <c:v>1986</c:v>
                </c:pt>
                <c:pt idx="301">
                  <c:v>1987</c:v>
                </c:pt>
                <c:pt idx="302">
                  <c:v>1988</c:v>
                </c:pt>
                <c:pt idx="303">
                  <c:v>1989</c:v>
                </c:pt>
                <c:pt idx="304">
                  <c:v>1990</c:v>
                </c:pt>
                <c:pt idx="305">
                  <c:v>1991</c:v>
                </c:pt>
                <c:pt idx="306">
                  <c:v>1992</c:v>
                </c:pt>
                <c:pt idx="307">
                  <c:v>1993</c:v>
                </c:pt>
                <c:pt idx="308">
                  <c:v>1994</c:v>
                </c:pt>
                <c:pt idx="309">
                  <c:v>1995</c:v>
                </c:pt>
                <c:pt idx="310">
                  <c:v>1996</c:v>
                </c:pt>
                <c:pt idx="311">
                  <c:v>1997</c:v>
                </c:pt>
                <c:pt idx="312">
                  <c:v>1998</c:v>
                </c:pt>
                <c:pt idx="313">
                  <c:v>1999</c:v>
                </c:pt>
                <c:pt idx="314">
                  <c:v>2000</c:v>
                </c:pt>
                <c:pt idx="315">
                  <c:v>2001</c:v>
                </c:pt>
                <c:pt idx="316">
                  <c:v>2002</c:v>
                </c:pt>
                <c:pt idx="317">
                  <c:v>2003</c:v>
                </c:pt>
                <c:pt idx="318">
                  <c:v>2004</c:v>
                </c:pt>
                <c:pt idx="319">
                  <c:v>2005</c:v>
                </c:pt>
                <c:pt idx="320">
                  <c:v>2006</c:v>
                </c:pt>
                <c:pt idx="321">
                  <c:v>2007</c:v>
                </c:pt>
                <c:pt idx="322">
                  <c:v>2008</c:v>
                </c:pt>
                <c:pt idx="323">
                  <c:v>2009</c:v>
                </c:pt>
                <c:pt idx="324">
                  <c:v>2010</c:v>
                </c:pt>
                <c:pt idx="325">
                  <c:v>2011</c:v>
                </c:pt>
                <c:pt idx="326">
                  <c:v>2012</c:v>
                </c:pt>
                <c:pt idx="327">
                  <c:v>2013</c:v>
                </c:pt>
                <c:pt idx="328">
                  <c:v>2014</c:v>
                </c:pt>
                <c:pt idx="329">
                  <c:v>2015</c:v>
                </c:pt>
                <c:pt idx="330">
                  <c:v>2016</c:v>
                </c:pt>
                <c:pt idx="331">
                  <c:v>2017</c:v>
                </c:pt>
                <c:pt idx="332">
                  <c:v>2018</c:v>
                </c:pt>
                <c:pt idx="333">
                  <c:v>2019</c:v>
                </c:pt>
                <c:pt idx="334">
                  <c:v>1877</c:v>
                </c:pt>
                <c:pt idx="335">
                  <c:v>1878</c:v>
                </c:pt>
                <c:pt idx="336">
                  <c:v>1879</c:v>
                </c:pt>
                <c:pt idx="337">
                  <c:v>1880</c:v>
                </c:pt>
                <c:pt idx="338">
                  <c:v>1881</c:v>
                </c:pt>
                <c:pt idx="339">
                  <c:v>1882</c:v>
                </c:pt>
                <c:pt idx="340">
                  <c:v>1883</c:v>
                </c:pt>
                <c:pt idx="341">
                  <c:v>1884</c:v>
                </c:pt>
                <c:pt idx="342">
                  <c:v>1885</c:v>
                </c:pt>
                <c:pt idx="343">
                  <c:v>1886</c:v>
                </c:pt>
                <c:pt idx="344">
                  <c:v>1887</c:v>
                </c:pt>
                <c:pt idx="345">
                  <c:v>1888</c:v>
                </c:pt>
                <c:pt idx="346">
                  <c:v>1889</c:v>
                </c:pt>
                <c:pt idx="347">
                  <c:v>1890</c:v>
                </c:pt>
                <c:pt idx="348">
                  <c:v>1891</c:v>
                </c:pt>
                <c:pt idx="349">
                  <c:v>1892</c:v>
                </c:pt>
                <c:pt idx="350">
                  <c:v>1893</c:v>
                </c:pt>
                <c:pt idx="351">
                  <c:v>1894</c:v>
                </c:pt>
                <c:pt idx="352">
                  <c:v>1895</c:v>
                </c:pt>
                <c:pt idx="353">
                  <c:v>1913</c:v>
                </c:pt>
                <c:pt idx="354">
                  <c:v>1914</c:v>
                </c:pt>
                <c:pt idx="355">
                  <c:v>1915</c:v>
                </c:pt>
                <c:pt idx="356">
                  <c:v>1916</c:v>
                </c:pt>
                <c:pt idx="357">
                  <c:v>1926</c:v>
                </c:pt>
                <c:pt idx="358">
                  <c:v>1927</c:v>
                </c:pt>
                <c:pt idx="359">
                  <c:v>1928</c:v>
                </c:pt>
                <c:pt idx="360">
                  <c:v>1929</c:v>
                </c:pt>
                <c:pt idx="361">
                  <c:v>1934</c:v>
                </c:pt>
                <c:pt idx="362">
                  <c:v>1935</c:v>
                </c:pt>
                <c:pt idx="363">
                  <c:v>1936</c:v>
                </c:pt>
                <c:pt idx="364">
                  <c:v>1937</c:v>
                </c:pt>
                <c:pt idx="365">
                  <c:v>1938</c:v>
                </c:pt>
                <c:pt idx="366">
                  <c:v>1939</c:v>
                </c:pt>
                <c:pt idx="367">
                  <c:v>1940</c:v>
                </c:pt>
                <c:pt idx="368">
                  <c:v>1943</c:v>
                </c:pt>
                <c:pt idx="369">
                  <c:v>1944</c:v>
                </c:pt>
                <c:pt idx="370">
                  <c:v>1945</c:v>
                </c:pt>
                <c:pt idx="371">
                  <c:v>1947</c:v>
                </c:pt>
                <c:pt idx="372">
                  <c:v>1948</c:v>
                </c:pt>
                <c:pt idx="373">
                  <c:v>1949</c:v>
                </c:pt>
                <c:pt idx="374">
                  <c:v>1950</c:v>
                </c:pt>
                <c:pt idx="375">
                  <c:v>1952</c:v>
                </c:pt>
                <c:pt idx="376">
                  <c:v>1958</c:v>
                </c:pt>
                <c:pt idx="377">
                  <c:v>1959</c:v>
                </c:pt>
                <c:pt idx="378">
                  <c:v>1962</c:v>
                </c:pt>
                <c:pt idx="379">
                  <c:v>1968</c:v>
                </c:pt>
                <c:pt idx="380">
                  <c:v>1969</c:v>
                </c:pt>
                <c:pt idx="381">
                  <c:v>1970</c:v>
                </c:pt>
                <c:pt idx="382">
                  <c:v>1971</c:v>
                </c:pt>
                <c:pt idx="383">
                  <c:v>1972</c:v>
                </c:pt>
                <c:pt idx="384">
                  <c:v>1973</c:v>
                </c:pt>
                <c:pt idx="385">
                  <c:v>1974</c:v>
                </c:pt>
                <c:pt idx="386">
                  <c:v>1975</c:v>
                </c:pt>
                <c:pt idx="387">
                  <c:v>1976</c:v>
                </c:pt>
                <c:pt idx="388">
                  <c:v>1977</c:v>
                </c:pt>
                <c:pt idx="389">
                  <c:v>1978</c:v>
                </c:pt>
                <c:pt idx="390">
                  <c:v>1979</c:v>
                </c:pt>
                <c:pt idx="391">
                  <c:v>1980</c:v>
                </c:pt>
                <c:pt idx="392">
                  <c:v>1981</c:v>
                </c:pt>
                <c:pt idx="393">
                  <c:v>1982</c:v>
                </c:pt>
                <c:pt idx="394">
                  <c:v>1983</c:v>
                </c:pt>
                <c:pt idx="395">
                  <c:v>1984</c:v>
                </c:pt>
                <c:pt idx="396">
                  <c:v>1985</c:v>
                </c:pt>
                <c:pt idx="397">
                  <c:v>1986</c:v>
                </c:pt>
                <c:pt idx="398">
                  <c:v>1987</c:v>
                </c:pt>
                <c:pt idx="399">
                  <c:v>1988</c:v>
                </c:pt>
                <c:pt idx="400">
                  <c:v>1989</c:v>
                </c:pt>
                <c:pt idx="401">
                  <c:v>1990</c:v>
                </c:pt>
                <c:pt idx="402">
                  <c:v>1991</c:v>
                </c:pt>
                <c:pt idx="403">
                  <c:v>1992</c:v>
                </c:pt>
                <c:pt idx="404">
                  <c:v>1993</c:v>
                </c:pt>
                <c:pt idx="405">
                  <c:v>1994</c:v>
                </c:pt>
                <c:pt idx="406">
                  <c:v>1995</c:v>
                </c:pt>
                <c:pt idx="407">
                  <c:v>1996</c:v>
                </c:pt>
                <c:pt idx="408">
                  <c:v>1997</c:v>
                </c:pt>
                <c:pt idx="409">
                  <c:v>1998</c:v>
                </c:pt>
                <c:pt idx="410">
                  <c:v>1999</c:v>
                </c:pt>
                <c:pt idx="411">
                  <c:v>2000</c:v>
                </c:pt>
                <c:pt idx="412">
                  <c:v>2001</c:v>
                </c:pt>
                <c:pt idx="413">
                  <c:v>2002</c:v>
                </c:pt>
                <c:pt idx="414">
                  <c:v>2003</c:v>
                </c:pt>
                <c:pt idx="415">
                  <c:v>2004</c:v>
                </c:pt>
                <c:pt idx="416">
                  <c:v>2005</c:v>
                </c:pt>
                <c:pt idx="417">
                  <c:v>2006</c:v>
                </c:pt>
                <c:pt idx="418">
                  <c:v>2007</c:v>
                </c:pt>
                <c:pt idx="419">
                  <c:v>2008</c:v>
                </c:pt>
                <c:pt idx="420">
                  <c:v>2009</c:v>
                </c:pt>
                <c:pt idx="421">
                  <c:v>2010</c:v>
                </c:pt>
                <c:pt idx="422">
                  <c:v>2011</c:v>
                </c:pt>
                <c:pt idx="423">
                  <c:v>2012</c:v>
                </c:pt>
                <c:pt idx="424">
                  <c:v>2013</c:v>
                </c:pt>
                <c:pt idx="425">
                  <c:v>2014</c:v>
                </c:pt>
                <c:pt idx="426">
                  <c:v>2015</c:v>
                </c:pt>
                <c:pt idx="427">
                  <c:v>2016</c:v>
                </c:pt>
                <c:pt idx="428">
                  <c:v>2017</c:v>
                </c:pt>
                <c:pt idx="429">
                  <c:v>2018</c:v>
                </c:pt>
                <c:pt idx="430">
                  <c:v>2019</c:v>
                </c:pt>
              </c:numCache>
            </c:numRef>
          </c:xVal>
          <c:yVal>
            <c:numRef>
              <c:f>'NTL Ice data'!$I$2:$I$432</c:f>
              <c:numCache>
                <c:formatCode>General</c:formatCode>
                <c:ptCount val="431"/>
                <c:pt idx="2">
                  <c:v>118</c:v>
                </c:pt>
                <c:pt idx="3">
                  <c:v>151</c:v>
                </c:pt>
                <c:pt idx="4">
                  <c:v>121</c:v>
                </c:pt>
                <c:pt idx="5">
                  <c:v>96</c:v>
                </c:pt>
                <c:pt idx="6">
                  <c:v>110</c:v>
                </c:pt>
                <c:pt idx="7">
                  <c:v>117</c:v>
                </c:pt>
                <c:pt idx="8">
                  <c:v>132</c:v>
                </c:pt>
                <c:pt idx="9">
                  <c:v>104</c:v>
                </c:pt>
                <c:pt idx="10">
                  <c:v>125</c:v>
                </c:pt>
                <c:pt idx="11">
                  <c:v>118</c:v>
                </c:pt>
                <c:pt idx="12">
                  <c:v>125</c:v>
                </c:pt>
                <c:pt idx="13">
                  <c:v>123</c:v>
                </c:pt>
                <c:pt idx="14">
                  <c:v>110</c:v>
                </c:pt>
                <c:pt idx="15">
                  <c:v>127</c:v>
                </c:pt>
                <c:pt idx="16">
                  <c:v>131</c:v>
                </c:pt>
                <c:pt idx="17">
                  <c:v>99</c:v>
                </c:pt>
                <c:pt idx="18">
                  <c:v>126</c:v>
                </c:pt>
                <c:pt idx="19">
                  <c:v>144</c:v>
                </c:pt>
                <c:pt idx="20">
                  <c:v>136</c:v>
                </c:pt>
                <c:pt idx="21">
                  <c:v>126</c:v>
                </c:pt>
                <c:pt idx="22">
                  <c:v>91</c:v>
                </c:pt>
                <c:pt idx="23">
                  <c:v>130</c:v>
                </c:pt>
                <c:pt idx="24">
                  <c:v>62</c:v>
                </c:pt>
                <c:pt idx="25">
                  <c:v>112</c:v>
                </c:pt>
                <c:pt idx="26">
                  <c:v>99</c:v>
                </c:pt>
                <c:pt idx="27">
                  <c:v>161</c:v>
                </c:pt>
                <c:pt idx="28">
                  <c:v>78</c:v>
                </c:pt>
                <c:pt idx="29">
                  <c:v>124</c:v>
                </c:pt>
                <c:pt idx="30">
                  <c:v>119</c:v>
                </c:pt>
                <c:pt idx="31">
                  <c:v>124</c:v>
                </c:pt>
                <c:pt idx="32">
                  <c:v>128</c:v>
                </c:pt>
                <c:pt idx="33">
                  <c:v>131</c:v>
                </c:pt>
                <c:pt idx="34">
                  <c:v>113</c:v>
                </c:pt>
                <c:pt idx="35">
                  <c:v>88</c:v>
                </c:pt>
                <c:pt idx="36">
                  <c:v>75</c:v>
                </c:pt>
                <c:pt idx="37">
                  <c:v>111</c:v>
                </c:pt>
                <c:pt idx="38">
                  <c:v>97</c:v>
                </c:pt>
                <c:pt idx="39">
                  <c:v>112</c:v>
                </c:pt>
                <c:pt idx="40">
                  <c:v>101</c:v>
                </c:pt>
                <c:pt idx="41">
                  <c:v>101</c:v>
                </c:pt>
                <c:pt idx="42">
                  <c:v>91</c:v>
                </c:pt>
                <c:pt idx="43">
                  <c:v>110</c:v>
                </c:pt>
                <c:pt idx="44">
                  <c:v>100</c:v>
                </c:pt>
                <c:pt idx="45">
                  <c:v>130</c:v>
                </c:pt>
                <c:pt idx="46">
                  <c:v>111</c:v>
                </c:pt>
                <c:pt idx="47">
                  <c:v>107</c:v>
                </c:pt>
                <c:pt idx="48">
                  <c:v>105</c:v>
                </c:pt>
                <c:pt idx="49">
                  <c:v>89</c:v>
                </c:pt>
                <c:pt idx="50">
                  <c:v>126</c:v>
                </c:pt>
                <c:pt idx="51">
                  <c:v>108</c:v>
                </c:pt>
                <c:pt idx="52">
                  <c:v>97</c:v>
                </c:pt>
                <c:pt idx="53">
                  <c:v>94</c:v>
                </c:pt>
                <c:pt idx="54">
                  <c:v>83</c:v>
                </c:pt>
                <c:pt idx="55">
                  <c:v>106</c:v>
                </c:pt>
                <c:pt idx="56">
                  <c:v>98</c:v>
                </c:pt>
                <c:pt idx="57">
                  <c:v>101</c:v>
                </c:pt>
                <c:pt idx="58">
                  <c:v>108</c:v>
                </c:pt>
                <c:pt idx="59">
                  <c:v>99</c:v>
                </c:pt>
                <c:pt idx="60">
                  <c:v>88</c:v>
                </c:pt>
                <c:pt idx="61">
                  <c:v>115</c:v>
                </c:pt>
                <c:pt idx="62">
                  <c:v>102</c:v>
                </c:pt>
                <c:pt idx="63">
                  <c:v>116</c:v>
                </c:pt>
                <c:pt idx="64">
                  <c:v>115</c:v>
                </c:pt>
                <c:pt idx="65">
                  <c:v>82</c:v>
                </c:pt>
                <c:pt idx="66">
                  <c:v>110</c:v>
                </c:pt>
                <c:pt idx="67">
                  <c:v>81</c:v>
                </c:pt>
                <c:pt idx="68">
                  <c:v>96</c:v>
                </c:pt>
                <c:pt idx="69">
                  <c:v>125</c:v>
                </c:pt>
                <c:pt idx="70">
                  <c:v>104</c:v>
                </c:pt>
                <c:pt idx="71">
                  <c:v>105</c:v>
                </c:pt>
                <c:pt idx="72">
                  <c:v>124</c:v>
                </c:pt>
                <c:pt idx="73">
                  <c:v>103</c:v>
                </c:pt>
                <c:pt idx="74">
                  <c:v>106</c:v>
                </c:pt>
                <c:pt idx="75">
                  <c:v>96</c:v>
                </c:pt>
                <c:pt idx="76">
                  <c:v>107</c:v>
                </c:pt>
                <c:pt idx="77">
                  <c:v>98</c:v>
                </c:pt>
                <c:pt idx="78">
                  <c:v>65</c:v>
                </c:pt>
                <c:pt idx="79">
                  <c:v>115</c:v>
                </c:pt>
                <c:pt idx="80">
                  <c:v>91</c:v>
                </c:pt>
                <c:pt idx="81">
                  <c:v>94</c:v>
                </c:pt>
                <c:pt idx="82">
                  <c:v>101</c:v>
                </c:pt>
                <c:pt idx="83">
                  <c:v>121</c:v>
                </c:pt>
                <c:pt idx="84">
                  <c:v>105</c:v>
                </c:pt>
                <c:pt idx="85">
                  <c:v>97</c:v>
                </c:pt>
                <c:pt idx="86">
                  <c:v>105</c:v>
                </c:pt>
                <c:pt idx="87">
                  <c:v>96</c:v>
                </c:pt>
                <c:pt idx="88">
                  <c:v>82</c:v>
                </c:pt>
                <c:pt idx="89">
                  <c:v>116</c:v>
                </c:pt>
                <c:pt idx="90">
                  <c:v>114</c:v>
                </c:pt>
                <c:pt idx="91">
                  <c:v>92</c:v>
                </c:pt>
                <c:pt idx="92">
                  <c:v>98</c:v>
                </c:pt>
                <c:pt idx="93">
                  <c:v>101</c:v>
                </c:pt>
                <c:pt idx="94">
                  <c:v>104</c:v>
                </c:pt>
                <c:pt idx="95">
                  <c:v>96</c:v>
                </c:pt>
                <c:pt idx="96">
                  <c:v>109</c:v>
                </c:pt>
                <c:pt idx="97">
                  <c:v>122</c:v>
                </c:pt>
                <c:pt idx="98">
                  <c:v>114</c:v>
                </c:pt>
                <c:pt idx="99">
                  <c:v>81</c:v>
                </c:pt>
                <c:pt idx="100">
                  <c:v>85</c:v>
                </c:pt>
                <c:pt idx="101">
                  <c:v>92</c:v>
                </c:pt>
                <c:pt idx="102">
                  <c:v>114</c:v>
                </c:pt>
                <c:pt idx="103">
                  <c:v>111</c:v>
                </c:pt>
                <c:pt idx="104">
                  <c:v>95</c:v>
                </c:pt>
                <c:pt idx="105">
                  <c:v>126</c:v>
                </c:pt>
                <c:pt idx="106">
                  <c:v>105</c:v>
                </c:pt>
                <c:pt idx="107">
                  <c:v>108</c:v>
                </c:pt>
                <c:pt idx="108">
                  <c:v>117</c:v>
                </c:pt>
                <c:pt idx="109">
                  <c:v>112</c:v>
                </c:pt>
                <c:pt idx="110">
                  <c:v>113</c:v>
                </c:pt>
                <c:pt idx="111">
                  <c:v>120</c:v>
                </c:pt>
                <c:pt idx="112">
                  <c:v>65</c:v>
                </c:pt>
                <c:pt idx="113">
                  <c:v>98</c:v>
                </c:pt>
                <c:pt idx="114">
                  <c:v>91</c:v>
                </c:pt>
                <c:pt idx="115">
                  <c:v>108</c:v>
                </c:pt>
                <c:pt idx="116">
                  <c:v>113</c:v>
                </c:pt>
                <c:pt idx="117">
                  <c:v>110</c:v>
                </c:pt>
                <c:pt idx="118">
                  <c:v>105</c:v>
                </c:pt>
                <c:pt idx="119">
                  <c:v>97</c:v>
                </c:pt>
                <c:pt idx="120">
                  <c:v>105</c:v>
                </c:pt>
                <c:pt idx="121">
                  <c:v>107</c:v>
                </c:pt>
                <c:pt idx="122">
                  <c:v>88</c:v>
                </c:pt>
                <c:pt idx="123">
                  <c:v>115</c:v>
                </c:pt>
                <c:pt idx="124">
                  <c:v>123</c:v>
                </c:pt>
                <c:pt idx="125">
                  <c:v>118</c:v>
                </c:pt>
                <c:pt idx="126">
                  <c:v>99</c:v>
                </c:pt>
                <c:pt idx="127">
                  <c:v>93</c:v>
                </c:pt>
                <c:pt idx="128">
                  <c:v>96</c:v>
                </c:pt>
                <c:pt idx="129">
                  <c:v>54</c:v>
                </c:pt>
                <c:pt idx="130">
                  <c:v>111</c:v>
                </c:pt>
                <c:pt idx="131">
                  <c:v>85</c:v>
                </c:pt>
                <c:pt idx="132">
                  <c:v>107</c:v>
                </c:pt>
                <c:pt idx="133">
                  <c:v>89</c:v>
                </c:pt>
                <c:pt idx="134">
                  <c:v>87</c:v>
                </c:pt>
                <c:pt idx="135">
                  <c:v>97</c:v>
                </c:pt>
                <c:pt idx="136">
                  <c:v>93</c:v>
                </c:pt>
                <c:pt idx="137">
                  <c:v>88</c:v>
                </c:pt>
                <c:pt idx="138">
                  <c:v>99</c:v>
                </c:pt>
                <c:pt idx="139">
                  <c:v>108</c:v>
                </c:pt>
                <c:pt idx="140">
                  <c:v>94</c:v>
                </c:pt>
                <c:pt idx="141">
                  <c:v>74</c:v>
                </c:pt>
                <c:pt idx="142">
                  <c:v>119</c:v>
                </c:pt>
                <c:pt idx="143">
                  <c:v>102</c:v>
                </c:pt>
                <c:pt idx="144">
                  <c:v>47</c:v>
                </c:pt>
                <c:pt idx="145">
                  <c:v>81</c:v>
                </c:pt>
                <c:pt idx="146">
                  <c:v>53</c:v>
                </c:pt>
                <c:pt idx="147">
                  <c:v>115</c:v>
                </c:pt>
                <c:pt idx="148">
                  <c:v>21</c:v>
                </c:pt>
                <c:pt idx="149">
                  <c:v>89</c:v>
                </c:pt>
                <c:pt idx="150">
                  <c:v>80</c:v>
                </c:pt>
                <c:pt idx="151">
                  <c:v>101</c:v>
                </c:pt>
                <c:pt idx="152">
                  <c:v>95</c:v>
                </c:pt>
                <c:pt idx="153">
                  <c:v>66</c:v>
                </c:pt>
                <c:pt idx="154">
                  <c:v>106</c:v>
                </c:pt>
                <c:pt idx="155">
                  <c:v>97</c:v>
                </c:pt>
                <c:pt idx="156">
                  <c:v>87</c:v>
                </c:pt>
                <c:pt idx="157">
                  <c:v>110</c:v>
                </c:pt>
                <c:pt idx="158">
                  <c:v>57</c:v>
                </c:pt>
                <c:pt idx="159">
                  <c:v>87</c:v>
                </c:pt>
                <c:pt idx="160">
                  <c:v>117</c:v>
                </c:pt>
                <c:pt idx="161">
                  <c:v>91</c:v>
                </c:pt>
                <c:pt idx="162">
                  <c:v>62</c:v>
                </c:pt>
                <c:pt idx="163">
                  <c:v>65</c:v>
                </c:pt>
                <c:pt idx="164">
                  <c:v>94</c:v>
                </c:pt>
                <c:pt idx="165">
                  <c:v>86</c:v>
                </c:pt>
                <c:pt idx="166">
                  <c:v>70</c:v>
                </c:pt>
                <c:pt idx="167">
                  <c:v>103</c:v>
                </c:pt>
                <c:pt idx="168">
                  <c:v>-999</c:v>
                </c:pt>
                <c:pt idx="169">
                  <c:v>118</c:v>
                </c:pt>
                <c:pt idx="170">
                  <c:v>151</c:v>
                </c:pt>
                <c:pt idx="171">
                  <c:v>119</c:v>
                </c:pt>
                <c:pt idx="172">
                  <c:v>94</c:v>
                </c:pt>
                <c:pt idx="173">
                  <c:v>111</c:v>
                </c:pt>
                <c:pt idx="174">
                  <c:v>129</c:v>
                </c:pt>
                <c:pt idx="175">
                  <c:v>133</c:v>
                </c:pt>
                <c:pt idx="176">
                  <c:v>119</c:v>
                </c:pt>
                <c:pt idx="177">
                  <c:v>131</c:v>
                </c:pt>
                <c:pt idx="178">
                  <c:v>117</c:v>
                </c:pt>
                <c:pt idx="179">
                  <c:v>125</c:v>
                </c:pt>
                <c:pt idx="180">
                  <c:v>128</c:v>
                </c:pt>
                <c:pt idx="181">
                  <c:v>108</c:v>
                </c:pt>
                <c:pt idx="182">
                  <c:v>126</c:v>
                </c:pt>
                <c:pt idx="183">
                  <c:v>138</c:v>
                </c:pt>
                <c:pt idx="184">
                  <c:v>100</c:v>
                </c:pt>
                <c:pt idx="185">
                  <c:v>142</c:v>
                </c:pt>
                <c:pt idx="186">
                  <c:v>141</c:v>
                </c:pt>
                <c:pt idx="187">
                  <c:v>136</c:v>
                </c:pt>
                <c:pt idx="188">
                  <c:v>123</c:v>
                </c:pt>
                <c:pt idx="189">
                  <c:v>91</c:v>
                </c:pt>
                <c:pt idx="190">
                  <c:v>132</c:v>
                </c:pt>
                <c:pt idx="191">
                  <c:v>62</c:v>
                </c:pt>
                <c:pt idx="192">
                  <c:v>115</c:v>
                </c:pt>
                <c:pt idx="193">
                  <c:v>93</c:v>
                </c:pt>
                <c:pt idx="194">
                  <c:v>160</c:v>
                </c:pt>
                <c:pt idx="195">
                  <c:v>77</c:v>
                </c:pt>
                <c:pt idx="196">
                  <c:v>127</c:v>
                </c:pt>
                <c:pt idx="197">
                  <c:v>120</c:v>
                </c:pt>
                <c:pt idx="198">
                  <c:v>121</c:v>
                </c:pt>
                <c:pt idx="199">
                  <c:v>131</c:v>
                </c:pt>
                <c:pt idx="200">
                  <c:v>131</c:v>
                </c:pt>
                <c:pt idx="201">
                  <c:v>137</c:v>
                </c:pt>
                <c:pt idx="202">
                  <c:v>87</c:v>
                </c:pt>
                <c:pt idx="203">
                  <c:v>74</c:v>
                </c:pt>
                <c:pt idx="204">
                  <c:v>113</c:v>
                </c:pt>
                <c:pt idx="205">
                  <c:v>96</c:v>
                </c:pt>
                <c:pt idx="206">
                  <c:v>117</c:v>
                </c:pt>
                <c:pt idx="207">
                  <c:v>99</c:v>
                </c:pt>
                <c:pt idx="208">
                  <c:v>104</c:v>
                </c:pt>
                <c:pt idx="209">
                  <c:v>119</c:v>
                </c:pt>
                <c:pt idx="210">
                  <c:v>123</c:v>
                </c:pt>
                <c:pt idx="211">
                  <c:v>101</c:v>
                </c:pt>
                <c:pt idx="212">
                  <c:v>129</c:v>
                </c:pt>
                <c:pt idx="213">
                  <c:v>112</c:v>
                </c:pt>
                <c:pt idx="214">
                  <c:v>118</c:v>
                </c:pt>
                <c:pt idx="215">
                  <c:v>103</c:v>
                </c:pt>
                <c:pt idx="216">
                  <c:v>85</c:v>
                </c:pt>
                <c:pt idx="217">
                  <c:v>140</c:v>
                </c:pt>
                <c:pt idx="218">
                  <c:v>111</c:v>
                </c:pt>
                <c:pt idx="219">
                  <c:v>115</c:v>
                </c:pt>
                <c:pt idx="220">
                  <c:v>106</c:v>
                </c:pt>
                <c:pt idx="221">
                  <c:v>106</c:v>
                </c:pt>
                <c:pt idx="222">
                  <c:v>118</c:v>
                </c:pt>
                <c:pt idx="223">
                  <c:v>96</c:v>
                </c:pt>
                <c:pt idx="224">
                  <c:v>103</c:v>
                </c:pt>
                <c:pt idx="225">
                  <c:v>113</c:v>
                </c:pt>
                <c:pt idx="226">
                  <c:v>104</c:v>
                </c:pt>
                <c:pt idx="227">
                  <c:v>83</c:v>
                </c:pt>
                <c:pt idx="228">
                  <c:v>115</c:v>
                </c:pt>
                <c:pt idx="229">
                  <c:v>111</c:v>
                </c:pt>
                <c:pt idx="230">
                  <c:v>116</c:v>
                </c:pt>
                <c:pt idx="231">
                  <c:v>116</c:v>
                </c:pt>
                <c:pt idx="232">
                  <c:v>83</c:v>
                </c:pt>
                <c:pt idx="233">
                  <c:v>116</c:v>
                </c:pt>
                <c:pt idx="234">
                  <c:v>85</c:v>
                </c:pt>
                <c:pt idx="235">
                  <c:v>96</c:v>
                </c:pt>
                <c:pt idx="236">
                  <c:v>127</c:v>
                </c:pt>
                <c:pt idx="237">
                  <c:v>103</c:v>
                </c:pt>
                <c:pt idx="238">
                  <c:v>103</c:v>
                </c:pt>
                <c:pt idx="239">
                  <c:v>126</c:v>
                </c:pt>
                <c:pt idx="240">
                  <c:v>102</c:v>
                </c:pt>
                <c:pt idx="241">
                  <c:v>108</c:v>
                </c:pt>
                <c:pt idx="242">
                  <c:v>96</c:v>
                </c:pt>
                <c:pt idx="243">
                  <c:v>104</c:v>
                </c:pt>
                <c:pt idx="244">
                  <c:v>98</c:v>
                </c:pt>
                <c:pt idx="245">
                  <c:v>60</c:v>
                </c:pt>
                <c:pt idx="246">
                  <c:v>107</c:v>
                </c:pt>
                <c:pt idx="247">
                  <c:v>103</c:v>
                </c:pt>
                <c:pt idx="248">
                  <c:v>98</c:v>
                </c:pt>
                <c:pt idx="249">
                  <c:v>107</c:v>
                </c:pt>
                <c:pt idx="250">
                  <c:v>123</c:v>
                </c:pt>
                <c:pt idx="251">
                  <c:v>111</c:v>
                </c:pt>
                <c:pt idx="252">
                  <c:v>102</c:v>
                </c:pt>
                <c:pt idx="253">
                  <c:v>102</c:v>
                </c:pt>
                <c:pt idx="254">
                  <c:v>127</c:v>
                </c:pt>
                <c:pt idx="255">
                  <c:v>85</c:v>
                </c:pt>
                <c:pt idx="256">
                  <c:v>114</c:v>
                </c:pt>
                <c:pt idx="257">
                  <c:v>101</c:v>
                </c:pt>
                <c:pt idx="258">
                  <c:v>89</c:v>
                </c:pt>
                <c:pt idx="259">
                  <c:v>99</c:v>
                </c:pt>
                <c:pt idx="260">
                  <c:v>108</c:v>
                </c:pt>
                <c:pt idx="261">
                  <c:v>108</c:v>
                </c:pt>
                <c:pt idx="262">
                  <c:v>92</c:v>
                </c:pt>
                <c:pt idx="263">
                  <c:v>113</c:v>
                </c:pt>
                <c:pt idx="264">
                  <c:v>118</c:v>
                </c:pt>
                <c:pt idx="265">
                  <c:v>112</c:v>
                </c:pt>
                <c:pt idx="266">
                  <c:v>93</c:v>
                </c:pt>
                <c:pt idx="267">
                  <c:v>72</c:v>
                </c:pt>
                <c:pt idx="268">
                  <c:v>83</c:v>
                </c:pt>
                <c:pt idx="269">
                  <c:v>109</c:v>
                </c:pt>
                <c:pt idx="270">
                  <c:v>92</c:v>
                </c:pt>
                <c:pt idx="271">
                  <c:v>109</c:v>
                </c:pt>
                <c:pt idx="272">
                  <c:v>125</c:v>
                </c:pt>
                <c:pt idx="273">
                  <c:v>101</c:v>
                </c:pt>
                <c:pt idx="274">
                  <c:v>98</c:v>
                </c:pt>
                <c:pt idx="275">
                  <c:v>113</c:v>
                </c:pt>
                <c:pt idx="276">
                  <c:v>112</c:v>
                </c:pt>
                <c:pt idx="277">
                  <c:v>92</c:v>
                </c:pt>
                <c:pt idx="278">
                  <c:v>114</c:v>
                </c:pt>
                <c:pt idx="279">
                  <c:v>65</c:v>
                </c:pt>
                <c:pt idx="280">
                  <c:v>88</c:v>
                </c:pt>
                <c:pt idx="281">
                  <c:v>87</c:v>
                </c:pt>
                <c:pt idx="282">
                  <c:v>101</c:v>
                </c:pt>
                <c:pt idx="283">
                  <c:v>92</c:v>
                </c:pt>
                <c:pt idx="284">
                  <c:v>93</c:v>
                </c:pt>
                <c:pt idx="285">
                  <c:v>95</c:v>
                </c:pt>
                <c:pt idx="286">
                  <c:v>90</c:v>
                </c:pt>
                <c:pt idx="287">
                  <c:v>94</c:v>
                </c:pt>
                <c:pt idx="288">
                  <c:v>95</c:v>
                </c:pt>
                <c:pt idx="289">
                  <c:v>90</c:v>
                </c:pt>
                <c:pt idx="290">
                  <c:v>103</c:v>
                </c:pt>
                <c:pt idx="291">
                  <c:v>121</c:v>
                </c:pt>
                <c:pt idx="292">
                  <c:v>117</c:v>
                </c:pt>
                <c:pt idx="293">
                  <c:v>104</c:v>
                </c:pt>
                <c:pt idx="294">
                  <c:v>86</c:v>
                </c:pt>
                <c:pt idx="295">
                  <c:v>100</c:v>
                </c:pt>
                <c:pt idx="296">
                  <c:v>56</c:v>
                </c:pt>
                <c:pt idx="297">
                  <c:v>107</c:v>
                </c:pt>
                <c:pt idx="298">
                  <c:v>92</c:v>
                </c:pt>
                <c:pt idx="299">
                  <c:v>113</c:v>
                </c:pt>
                <c:pt idx="300">
                  <c:v>85</c:v>
                </c:pt>
                <c:pt idx="301">
                  <c:v>91</c:v>
                </c:pt>
                <c:pt idx="302">
                  <c:v>93</c:v>
                </c:pt>
                <c:pt idx="303">
                  <c:v>98</c:v>
                </c:pt>
                <c:pt idx="304">
                  <c:v>88</c:v>
                </c:pt>
                <c:pt idx="305">
                  <c:v>91</c:v>
                </c:pt>
                <c:pt idx="306">
                  <c:v>108</c:v>
                </c:pt>
                <c:pt idx="307">
                  <c:v>95</c:v>
                </c:pt>
                <c:pt idx="308">
                  <c:v>85</c:v>
                </c:pt>
                <c:pt idx="309">
                  <c:v>107</c:v>
                </c:pt>
                <c:pt idx="310">
                  <c:v>96</c:v>
                </c:pt>
                <c:pt idx="311">
                  <c:v>47</c:v>
                </c:pt>
                <c:pt idx="312">
                  <c:v>70</c:v>
                </c:pt>
                <c:pt idx="313">
                  <c:v>52</c:v>
                </c:pt>
                <c:pt idx="314">
                  <c:v>108</c:v>
                </c:pt>
                <c:pt idx="315">
                  <c:v>56</c:v>
                </c:pt>
                <c:pt idx="316">
                  <c:v>83</c:v>
                </c:pt>
                <c:pt idx="317">
                  <c:v>75</c:v>
                </c:pt>
                <c:pt idx="318">
                  <c:v>97</c:v>
                </c:pt>
                <c:pt idx="319">
                  <c:v>94</c:v>
                </c:pt>
                <c:pt idx="320">
                  <c:v>67</c:v>
                </c:pt>
                <c:pt idx="321">
                  <c:v>122</c:v>
                </c:pt>
                <c:pt idx="322">
                  <c:v>98</c:v>
                </c:pt>
                <c:pt idx="323">
                  <c:v>88</c:v>
                </c:pt>
                <c:pt idx="324">
                  <c:v>116</c:v>
                </c:pt>
                <c:pt idx="325">
                  <c:v>69</c:v>
                </c:pt>
                <c:pt idx="326">
                  <c:v>101</c:v>
                </c:pt>
                <c:pt idx="327">
                  <c:v>121</c:v>
                </c:pt>
                <c:pt idx="328">
                  <c:v>105</c:v>
                </c:pt>
                <c:pt idx="329">
                  <c:v>62</c:v>
                </c:pt>
                <c:pt idx="330">
                  <c:v>81</c:v>
                </c:pt>
                <c:pt idx="331">
                  <c:v>93</c:v>
                </c:pt>
                <c:pt idx="332">
                  <c:v>97</c:v>
                </c:pt>
                <c:pt idx="333">
                  <c:v>80</c:v>
                </c:pt>
                <c:pt idx="334">
                  <c:v>70</c:v>
                </c:pt>
                <c:pt idx="335">
                  <c:v>113</c:v>
                </c:pt>
                <c:pt idx="336">
                  <c:v>125</c:v>
                </c:pt>
                <c:pt idx="337">
                  <c:v>164</c:v>
                </c:pt>
                <c:pt idx="338">
                  <c:v>102</c:v>
                </c:pt>
                <c:pt idx="339">
                  <c:v>129</c:v>
                </c:pt>
                <c:pt idx="340">
                  <c:v>150</c:v>
                </c:pt>
                <c:pt idx="341">
                  <c:v>140</c:v>
                </c:pt>
                <c:pt idx="342">
                  <c:v>131</c:v>
                </c:pt>
                <c:pt idx="343">
                  <c:v>-999</c:v>
                </c:pt>
                <c:pt idx="344">
                  <c:v>145</c:v>
                </c:pt>
                <c:pt idx="345">
                  <c:v>102</c:v>
                </c:pt>
                <c:pt idx="346">
                  <c:v>-999</c:v>
                </c:pt>
                <c:pt idx="347">
                  <c:v>-999</c:v>
                </c:pt>
                <c:pt idx="348">
                  <c:v>-999</c:v>
                </c:pt>
                <c:pt idx="349">
                  <c:v>138</c:v>
                </c:pt>
                <c:pt idx="350">
                  <c:v>113</c:v>
                </c:pt>
                <c:pt idx="351">
                  <c:v>-999</c:v>
                </c:pt>
                <c:pt idx="352">
                  <c:v>-999</c:v>
                </c:pt>
                <c:pt idx="353">
                  <c:v>-999</c:v>
                </c:pt>
                <c:pt idx="354">
                  <c:v>-999</c:v>
                </c:pt>
                <c:pt idx="355">
                  <c:v>-999</c:v>
                </c:pt>
                <c:pt idx="356">
                  <c:v>-999</c:v>
                </c:pt>
                <c:pt idx="357">
                  <c:v>-999</c:v>
                </c:pt>
                <c:pt idx="358">
                  <c:v>-999</c:v>
                </c:pt>
                <c:pt idx="359">
                  <c:v>116</c:v>
                </c:pt>
                <c:pt idx="360">
                  <c:v>-999</c:v>
                </c:pt>
                <c:pt idx="361">
                  <c:v>-999</c:v>
                </c:pt>
                <c:pt idx="362">
                  <c:v>-999</c:v>
                </c:pt>
                <c:pt idx="363">
                  <c:v>-999</c:v>
                </c:pt>
                <c:pt idx="364">
                  <c:v>-999</c:v>
                </c:pt>
                <c:pt idx="365">
                  <c:v>120</c:v>
                </c:pt>
                <c:pt idx="366">
                  <c:v>-999</c:v>
                </c:pt>
                <c:pt idx="367">
                  <c:v>-999</c:v>
                </c:pt>
                <c:pt idx="368">
                  <c:v>-999</c:v>
                </c:pt>
                <c:pt idx="369">
                  <c:v>105</c:v>
                </c:pt>
                <c:pt idx="370">
                  <c:v>116</c:v>
                </c:pt>
                <c:pt idx="371">
                  <c:v>-999</c:v>
                </c:pt>
                <c:pt idx="372">
                  <c:v>110</c:v>
                </c:pt>
                <c:pt idx="373">
                  <c:v>133</c:v>
                </c:pt>
                <c:pt idx="374">
                  <c:v>137</c:v>
                </c:pt>
                <c:pt idx="375">
                  <c:v>-999</c:v>
                </c:pt>
                <c:pt idx="376">
                  <c:v>-999</c:v>
                </c:pt>
                <c:pt idx="377">
                  <c:v>-999</c:v>
                </c:pt>
                <c:pt idx="378">
                  <c:v>110</c:v>
                </c:pt>
                <c:pt idx="379">
                  <c:v>123</c:v>
                </c:pt>
                <c:pt idx="380">
                  <c:v>118</c:v>
                </c:pt>
                <c:pt idx="381">
                  <c:v>122</c:v>
                </c:pt>
                <c:pt idx="382">
                  <c:v>136</c:v>
                </c:pt>
                <c:pt idx="383">
                  <c:v>104</c:v>
                </c:pt>
                <c:pt idx="384">
                  <c:v>-999</c:v>
                </c:pt>
                <c:pt idx="385">
                  <c:v>131</c:v>
                </c:pt>
                <c:pt idx="386">
                  <c:v>108</c:v>
                </c:pt>
                <c:pt idx="387">
                  <c:v>-999</c:v>
                </c:pt>
                <c:pt idx="388">
                  <c:v>131</c:v>
                </c:pt>
                <c:pt idx="389">
                  <c:v>142</c:v>
                </c:pt>
                <c:pt idx="390">
                  <c:v>123</c:v>
                </c:pt>
                <c:pt idx="391">
                  <c:v>102</c:v>
                </c:pt>
                <c:pt idx="392">
                  <c:v>-999</c:v>
                </c:pt>
                <c:pt idx="393">
                  <c:v>87</c:v>
                </c:pt>
                <c:pt idx="394">
                  <c:v>115</c:v>
                </c:pt>
                <c:pt idx="395">
                  <c:v>110</c:v>
                </c:pt>
                <c:pt idx="396">
                  <c:v>124</c:v>
                </c:pt>
                <c:pt idx="397">
                  <c:v>115</c:v>
                </c:pt>
                <c:pt idx="398">
                  <c:v>102</c:v>
                </c:pt>
                <c:pt idx="399">
                  <c:v>111</c:v>
                </c:pt>
                <c:pt idx="400">
                  <c:v>112</c:v>
                </c:pt>
                <c:pt idx="401">
                  <c:v>109</c:v>
                </c:pt>
                <c:pt idx="402">
                  <c:v>124</c:v>
                </c:pt>
                <c:pt idx="403">
                  <c:v>135</c:v>
                </c:pt>
                <c:pt idx="404">
                  <c:v>103</c:v>
                </c:pt>
                <c:pt idx="405">
                  <c:v>99</c:v>
                </c:pt>
                <c:pt idx="406">
                  <c:v>134</c:v>
                </c:pt>
                <c:pt idx="407">
                  <c:v>119</c:v>
                </c:pt>
                <c:pt idx="408">
                  <c:v>80</c:v>
                </c:pt>
                <c:pt idx="409">
                  <c:v>79</c:v>
                </c:pt>
                <c:pt idx="410">
                  <c:v>77</c:v>
                </c:pt>
                <c:pt idx="411">
                  <c:v>135</c:v>
                </c:pt>
                <c:pt idx="412">
                  <c:v>80</c:v>
                </c:pt>
                <c:pt idx="413">
                  <c:v>112</c:v>
                </c:pt>
                <c:pt idx="414">
                  <c:v>98</c:v>
                </c:pt>
                <c:pt idx="415">
                  <c:v>110</c:v>
                </c:pt>
                <c:pt idx="416">
                  <c:v>104</c:v>
                </c:pt>
                <c:pt idx="417">
                  <c:v>106</c:v>
                </c:pt>
                <c:pt idx="418">
                  <c:v>128</c:v>
                </c:pt>
                <c:pt idx="419">
                  <c:v>116</c:v>
                </c:pt>
                <c:pt idx="420">
                  <c:v>106</c:v>
                </c:pt>
                <c:pt idx="421">
                  <c:v>119</c:v>
                </c:pt>
                <c:pt idx="422">
                  <c:v>86</c:v>
                </c:pt>
                <c:pt idx="423">
                  <c:v>109</c:v>
                </c:pt>
                <c:pt idx="424">
                  <c:v>133</c:v>
                </c:pt>
                <c:pt idx="425">
                  <c:v>127</c:v>
                </c:pt>
                <c:pt idx="426">
                  <c:v>69</c:v>
                </c:pt>
                <c:pt idx="427">
                  <c:v>79</c:v>
                </c:pt>
                <c:pt idx="428">
                  <c:v>104</c:v>
                </c:pt>
                <c:pt idx="429">
                  <c:v>111</c:v>
                </c:pt>
                <c:pt idx="430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0-6345-9941-71E2C3B75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7385584"/>
        <c:axId val="920191328"/>
      </c:scatterChart>
      <c:valAx>
        <c:axId val="897385584"/>
        <c:scaling>
          <c:orientation val="minMax"/>
          <c:max val="2015"/>
          <c:min val="19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191328"/>
        <c:crosses val="autoZero"/>
        <c:crossBetween val="midCat"/>
      </c:valAx>
      <c:valAx>
        <c:axId val="920191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385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Ice duration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'NTL Ice data'!$H$144:$H$164</c:f>
              <c:numCache>
                <c:formatCode>General</c:formatCode>
                <c:ptCount val="2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</c:numCache>
            </c:numRef>
          </c:xVal>
          <c:yVal>
            <c:numRef>
              <c:f>'NTL Ice data'!$I$144:$I$164</c:f>
              <c:numCache>
                <c:formatCode>General</c:formatCode>
                <c:ptCount val="21"/>
                <c:pt idx="0">
                  <c:v>119</c:v>
                </c:pt>
                <c:pt idx="1">
                  <c:v>102</c:v>
                </c:pt>
                <c:pt idx="2">
                  <c:v>47</c:v>
                </c:pt>
                <c:pt idx="3">
                  <c:v>81</c:v>
                </c:pt>
                <c:pt idx="4">
                  <c:v>53</c:v>
                </c:pt>
                <c:pt idx="5">
                  <c:v>115</c:v>
                </c:pt>
                <c:pt idx="6">
                  <c:v>21</c:v>
                </c:pt>
                <c:pt idx="7">
                  <c:v>89</c:v>
                </c:pt>
                <c:pt idx="8">
                  <c:v>80</c:v>
                </c:pt>
                <c:pt idx="9">
                  <c:v>101</c:v>
                </c:pt>
                <c:pt idx="10">
                  <c:v>95</c:v>
                </c:pt>
                <c:pt idx="11">
                  <c:v>66</c:v>
                </c:pt>
                <c:pt idx="12">
                  <c:v>106</c:v>
                </c:pt>
                <c:pt idx="13">
                  <c:v>97</c:v>
                </c:pt>
                <c:pt idx="14">
                  <c:v>87</c:v>
                </c:pt>
                <c:pt idx="15">
                  <c:v>110</c:v>
                </c:pt>
                <c:pt idx="16">
                  <c:v>57</c:v>
                </c:pt>
                <c:pt idx="17">
                  <c:v>87</c:v>
                </c:pt>
                <c:pt idx="18">
                  <c:v>117</c:v>
                </c:pt>
                <c:pt idx="19">
                  <c:v>91</c:v>
                </c:pt>
                <c:pt idx="20">
                  <c:v>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38-1342-AE06-BB881E28DDE4}"/>
            </c:ext>
          </c:extLst>
        </c:ser>
        <c:ser>
          <c:idx val="1"/>
          <c:order val="1"/>
          <c:tx>
            <c:v>Ice off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'NTL Ice data'!$H$144:$H$164</c:f>
              <c:numCache>
                <c:formatCode>General</c:formatCode>
                <c:ptCount val="2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</c:numCache>
            </c:numRef>
          </c:xVal>
          <c:yVal>
            <c:numRef>
              <c:f>'NTL Ice data'!$K$144:$K$164</c:f>
              <c:numCache>
                <c:formatCode>General</c:formatCode>
                <c:ptCount val="21"/>
                <c:pt idx="0">
                  <c:v>98</c:v>
                </c:pt>
                <c:pt idx="1">
                  <c:v>91</c:v>
                </c:pt>
                <c:pt idx="2">
                  <c:v>58</c:v>
                </c:pt>
                <c:pt idx="3">
                  <c:v>80</c:v>
                </c:pt>
                <c:pt idx="4">
                  <c:v>67</c:v>
                </c:pt>
                <c:pt idx="5">
                  <c:v>97</c:v>
                </c:pt>
                <c:pt idx="6">
                  <c:v>74</c:v>
                </c:pt>
                <c:pt idx="7">
                  <c:v>93</c:v>
                </c:pt>
                <c:pt idx="8">
                  <c:v>87</c:v>
                </c:pt>
                <c:pt idx="9">
                  <c:v>95</c:v>
                </c:pt>
                <c:pt idx="10">
                  <c:v>83</c:v>
                </c:pt>
                <c:pt idx="11">
                  <c:v>86</c:v>
                </c:pt>
                <c:pt idx="12">
                  <c:v>101</c:v>
                </c:pt>
                <c:pt idx="13">
                  <c:v>82</c:v>
                </c:pt>
                <c:pt idx="14">
                  <c:v>85</c:v>
                </c:pt>
                <c:pt idx="15">
                  <c:v>93</c:v>
                </c:pt>
                <c:pt idx="16">
                  <c:v>71</c:v>
                </c:pt>
                <c:pt idx="17">
                  <c:v>101</c:v>
                </c:pt>
                <c:pt idx="18">
                  <c:v>102</c:v>
                </c:pt>
                <c:pt idx="19">
                  <c:v>93</c:v>
                </c:pt>
                <c:pt idx="20">
                  <c:v>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38-1342-AE06-BB881E28D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1973008"/>
        <c:axId val="892038112"/>
      </c:scatterChart>
      <c:valAx>
        <c:axId val="891973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038112"/>
        <c:crosses val="autoZero"/>
        <c:crossBetween val="midCat"/>
      </c:valAx>
      <c:valAx>
        <c:axId val="89203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973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425450</xdr:colOff>
      <xdr:row>31</xdr:row>
      <xdr:rowOff>152400</xdr:rowOff>
    </xdr:from>
    <xdr:to>
      <xdr:col>22</xdr:col>
      <xdr:colOff>101600</xdr:colOff>
      <xdr:row>53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3A13EB-1878-C9F1-BE3E-45EC441A0E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139700</xdr:colOff>
      <xdr:row>6</xdr:row>
      <xdr:rowOff>101600</xdr:rowOff>
    </xdr:from>
    <xdr:to>
      <xdr:col>19</xdr:col>
      <xdr:colOff>279400</xdr:colOff>
      <xdr:row>22</xdr:row>
      <xdr:rowOff>127000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26D6422-457E-0A4E-B8DD-D35E30E2D7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32"/>
  <sheetViews>
    <sheetView tabSelected="1" topLeftCell="A135" workbookViewId="0">
      <selection activeCell="M165" sqref="M165"/>
    </sheetView>
  </sheetViews>
  <sheetFormatPr baseColWidth="10" defaultRowHeight="16" x14ac:dyDescent="0.2"/>
  <cols>
    <col min="10" max="10" width="13.1640625" bestFit="1" customWidth="1"/>
    <col min="11" max="11" width="26.664062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6</v>
      </c>
      <c r="J1" t="s">
        <v>367</v>
      </c>
    </row>
    <row r="2" spans="1:12" x14ac:dyDescent="0.2">
      <c r="A2" t="s">
        <v>8</v>
      </c>
      <c r="B2" t="s">
        <v>9</v>
      </c>
      <c r="E2">
        <v>185395</v>
      </c>
      <c r="F2" t="s">
        <v>10</v>
      </c>
      <c r="H2">
        <v>1852</v>
      </c>
    </row>
    <row r="3" spans="1:12" x14ac:dyDescent="0.2">
      <c r="A3" t="s">
        <v>8</v>
      </c>
      <c r="B3" t="s">
        <v>11</v>
      </c>
      <c r="C3">
        <v>1853361</v>
      </c>
      <c r="D3" t="s">
        <v>12</v>
      </c>
      <c r="H3">
        <v>1853</v>
      </c>
    </row>
    <row r="4" spans="1:12" x14ac:dyDescent="0.2">
      <c r="A4" t="s">
        <v>8</v>
      </c>
      <c r="B4" t="s">
        <v>13</v>
      </c>
      <c r="C4">
        <v>1855352</v>
      </c>
      <c r="D4" t="s">
        <v>14</v>
      </c>
      <c r="E4">
        <v>1856105</v>
      </c>
      <c r="F4" t="s">
        <v>15</v>
      </c>
      <c r="G4">
        <v>118</v>
      </c>
      <c r="H4">
        <v>1855</v>
      </c>
      <c r="I4">
        <v>118</v>
      </c>
      <c r="J4" s="3" t="e">
        <f>TEXT((F4-DATEVALUE("1/1/"&amp;TEXT(AF4,"yy"))+1),"000")</f>
        <v>#VALUE!</v>
      </c>
      <c r="K4" t="s">
        <v>365</v>
      </c>
      <c r="L4">
        <f>AVERAGE(I144:I163)</f>
        <v>86.05</v>
      </c>
    </row>
    <row r="5" spans="1:12" x14ac:dyDescent="0.2">
      <c r="A5" t="s">
        <v>8</v>
      </c>
      <c r="B5" t="s">
        <v>16</v>
      </c>
      <c r="C5">
        <v>1856341</v>
      </c>
      <c r="D5" t="s">
        <v>17</v>
      </c>
      <c r="E5">
        <v>1857126</v>
      </c>
      <c r="F5" t="s">
        <v>18</v>
      </c>
      <c r="G5">
        <v>151</v>
      </c>
      <c r="H5">
        <v>1856</v>
      </c>
      <c r="I5">
        <v>151</v>
      </c>
      <c r="K5" t="s">
        <v>366</v>
      </c>
      <c r="L5" s="2">
        <f>STDEV(I144:I163)</f>
        <v>25.87718971156686</v>
      </c>
    </row>
    <row r="6" spans="1:12" x14ac:dyDescent="0.2">
      <c r="A6" t="s">
        <v>8</v>
      </c>
      <c r="B6" t="s">
        <v>19</v>
      </c>
      <c r="C6">
        <v>1857329</v>
      </c>
      <c r="D6" t="s">
        <v>20</v>
      </c>
      <c r="E6">
        <v>185885</v>
      </c>
      <c r="F6" t="s">
        <v>21</v>
      </c>
      <c r="G6">
        <v>121</v>
      </c>
      <c r="H6">
        <v>1857</v>
      </c>
      <c r="I6">
        <v>121</v>
      </c>
    </row>
    <row r="7" spans="1:12" x14ac:dyDescent="0.2">
      <c r="A7" t="s">
        <v>8</v>
      </c>
      <c r="B7" t="s">
        <v>22</v>
      </c>
      <c r="C7">
        <v>1858342</v>
      </c>
      <c r="D7" t="s">
        <v>23</v>
      </c>
      <c r="E7">
        <v>185973</v>
      </c>
      <c r="F7" t="s">
        <v>24</v>
      </c>
      <c r="G7">
        <v>96</v>
      </c>
      <c r="H7">
        <v>1858</v>
      </c>
      <c r="I7">
        <v>96</v>
      </c>
    </row>
    <row r="8" spans="1:12" x14ac:dyDescent="0.2">
      <c r="A8" t="s">
        <v>8</v>
      </c>
      <c r="B8" t="s">
        <v>25</v>
      </c>
      <c r="C8">
        <v>1859341</v>
      </c>
      <c r="D8" t="s">
        <v>26</v>
      </c>
      <c r="E8">
        <v>186086</v>
      </c>
      <c r="F8" t="s">
        <v>27</v>
      </c>
      <c r="G8">
        <v>110</v>
      </c>
      <c r="H8">
        <v>1859</v>
      </c>
      <c r="I8">
        <v>110</v>
      </c>
    </row>
    <row r="9" spans="1:12" x14ac:dyDescent="0.2">
      <c r="A9" t="s">
        <v>8</v>
      </c>
      <c r="B9" t="s">
        <v>28</v>
      </c>
      <c r="C9">
        <v>1860349</v>
      </c>
      <c r="D9" t="s">
        <v>29</v>
      </c>
      <c r="E9">
        <v>1861100</v>
      </c>
      <c r="F9" t="s">
        <v>30</v>
      </c>
      <c r="G9">
        <v>117</v>
      </c>
      <c r="H9">
        <v>1860</v>
      </c>
      <c r="I9">
        <v>117</v>
      </c>
    </row>
    <row r="10" spans="1:12" x14ac:dyDescent="0.2">
      <c r="A10" t="s">
        <v>8</v>
      </c>
      <c r="B10" t="s">
        <v>31</v>
      </c>
      <c r="C10">
        <v>1861336</v>
      </c>
      <c r="D10" t="s">
        <v>32</v>
      </c>
      <c r="E10">
        <v>1862103</v>
      </c>
      <c r="F10" t="s">
        <v>33</v>
      </c>
      <c r="G10">
        <v>132</v>
      </c>
      <c r="H10">
        <v>1861</v>
      </c>
      <c r="I10">
        <v>132</v>
      </c>
    </row>
    <row r="11" spans="1:12" x14ac:dyDescent="0.2">
      <c r="A11" t="s">
        <v>8</v>
      </c>
      <c r="B11" t="s">
        <v>34</v>
      </c>
      <c r="C11">
        <v>1862360</v>
      </c>
      <c r="D11" t="s">
        <v>35</v>
      </c>
      <c r="E11">
        <v>186399</v>
      </c>
      <c r="F11" t="s">
        <v>36</v>
      </c>
      <c r="G11">
        <v>104</v>
      </c>
      <c r="H11">
        <v>1862</v>
      </c>
      <c r="I11">
        <v>104</v>
      </c>
    </row>
    <row r="12" spans="1:12" x14ac:dyDescent="0.2">
      <c r="A12" t="s">
        <v>8</v>
      </c>
      <c r="B12" t="s">
        <v>37</v>
      </c>
      <c r="C12">
        <v>1863352</v>
      </c>
      <c r="D12" t="s">
        <v>38</v>
      </c>
      <c r="E12">
        <v>1864112</v>
      </c>
      <c r="F12" t="s">
        <v>39</v>
      </c>
      <c r="G12">
        <v>125</v>
      </c>
      <c r="H12">
        <v>1863</v>
      </c>
      <c r="I12">
        <v>125</v>
      </c>
    </row>
    <row r="13" spans="1:12" x14ac:dyDescent="0.2">
      <c r="A13" t="s">
        <v>8</v>
      </c>
      <c r="B13" t="s">
        <v>40</v>
      </c>
      <c r="C13">
        <v>1864343</v>
      </c>
      <c r="D13" t="s">
        <v>41</v>
      </c>
      <c r="E13">
        <v>186595</v>
      </c>
      <c r="F13" t="s">
        <v>42</v>
      </c>
      <c r="G13">
        <v>118</v>
      </c>
      <c r="H13">
        <v>1864</v>
      </c>
      <c r="I13">
        <v>118</v>
      </c>
    </row>
    <row r="14" spans="1:12" x14ac:dyDescent="0.2">
      <c r="A14" t="s">
        <v>8</v>
      </c>
      <c r="B14" t="s">
        <v>43</v>
      </c>
      <c r="C14">
        <v>1865348</v>
      </c>
      <c r="D14" t="s">
        <v>44</v>
      </c>
      <c r="E14">
        <v>1866108</v>
      </c>
      <c r="F14" t="s">
        <v>45</v>
      </c>
      <c r="G14">
        <v>125</v>
      </c>
      <c r="H14">
        <v>1865</v>
      </c>
      <c r="I14">
        <v>125</v>
      </c>
    </row>
    <row r="15" spans="1:12" x14ac:dyDescent="0.2">
      <c r="A15" t="s">
        <v>8</v>
      </c>
      <c r="B15" t="s">
        <v>46</v>
      </c>
      <c r="C15">
        <v>1866352</v>
      </c>
      <c r="D15" t="s">
        <v>47</v>
      </c>
      <c r="E15">
        <v>1867110</v>
      </c>
      <c r="F15" t="s">
        <v>48</v>
      </c>
      <c r="G15">
        <v>123</v>
      </c>
      <c r="H15">
        <v>1866</v>
      </c>
      <c r="I15">
        <v>123</v>
      </c>
    </row>
    <row r="16" spans="1:12" x14ac:dyDescent="0.2">
      <c r="A16" t="s">
        <v>8</v>
      </c>
      <c r="B16" t="s">
        <v>49</v>
      </c>
      <c r="C16">
        <v>1867346</v>
      </c>
      <c r="D16" t="s">
        <v>50</v>
      </c>
      <c r="E16">
        <v>186891</v>
      </c>
      <c r="F16" t="s">
        <v>51</v>
      </c>
      <c r="G16">
        <v>110</v>
      </c>
      <c r="H16">
        <v>1867</v>
      </c>
      <c r="I16">
        <v>110</v>
      </c>
    </row>
    <row r="17" spans="1:9" x14ac:dyDescent="0.2">
      <c r="A17" t="s">
        <v>8</v>
      </c>
      <c r="B17" t="s">
        <v>52</v>
      </c>
      <c r="C17">
        <v>1868345</v>
      </c>
      <c r="D17" t="s">
        <v>53</v>
      </c>
      <c r="E17">
        <v>1869106</v>
      </c>
      <c r="F17" t="s">
        <v>54</v>
      </c>
      <c r="G17">
        <v>127</v>
      </c>
      <c r="H17">
        <v>1868</v>
      </c>
      <c r="I17">
        <v>127</v>
      </c>
    </row>
    <row r="18" spans="1:9" x14ac:dyDescent="0.2">
      <c r="A18" t="s">
        <v>8</v>
      </c>
      <c r="B18" t="s">
        <v>55</v>
      </c>
      <c r="C18">
        <v>1869336</v>
      </c>
      <c r="D18" t="s">
        <v>56</v>
      </c>
      <c r="E18">
        <v>1870102</v>
      </c>
      <c r="F18" t="s">
        <v>57</v>
      </c>
      <c r="G18">
        <v>131</v>
      </c>
      <c r="H18">
        <v>1869</v>
      </c>
      <c r="I18">
        <v>131</v>
      </c>
    </row>
    <row r="19" spans="1:9" x14ac:dyDescent="0.2">
      <c r="A19" t="s">
        <v>8</v>
      </c>
      <c r="B19" t="s">
        <v>58</v>
      </c>
      <c r="C19">
        <v>1870358</v>
      </c>
      <c r="D19" t="s">
        <v>59</v>
      </c>
      <c r="E19">
        <v>187192</v>
      </c>
      <c r="F19" t="s">
        <v>60</v>
      </c>
      <c r="G19">
        <v>99</v>
      </c>
      <c r="H19">
        <v>1870</v>
      </c>
      <c r="I19">
        <v>99</v>
      </c>
    </row>
    <row r="20" spans="1:9" x14ac:dyDescent="0.2">
      <c r="A20" t="s">
        <v>8</v>
      </c>
      <c r="B20" t="s">
        <v>61</v>
      </c>
      <c r="C20">
        <v>1871353</v>
      </c>
      <c r="D20" t="s">
        <v>62</v>
      </c>
      <c r="E20">
        <v>1872114</v>
      </c>
      <c r="F20" t="s">
        <v>63</v>
      </c>
      <c r="G20">
        <v>126</v>
      </c>
      <c r="H20">
        <v>1871</v>
      </c>
      <c r="I20">
        <v>126</v>
      </c>
    </row>
    <row r="21" spans="1:9" x14ac:dyDescent="0.2">
      <c r="A21" t="s">
        <v>8</v>
      </c>
      <c r="B21" t="s">
        <v>64</v>
      </c>
      <c r="C21">
        <v>1872335</v>
      </c>
      <c r="D21" t="s">
        <v>65</v>
      </c>
      <c r="E21">
        <v>1873113</v>
      </c>
      <c r="F21" t="s">
        <v>66</v>
      </c>
      <c r="G21">
        <v>144</v>
      </c>
      <c r="H21">
        <v>1872</v>
      </c>
      <c r="I21">
        <v>144</v>
      </c>
    </row>
    <row r="22" spans="1:9" x14ac:dyDescent="0.2">
      <c r="A22" t="s">
        <v>8</v>
      </c>
      <c r="B22" t="s">
        <v>67</v>
      </c>
      <c r="C22">
        <v>1873333</v>
      </c>
      <c r="D22" t="s">
        <v>68</v>
      </c>
      <c r="E22">
        <v>1874104</v>
      </c>
      <c r="F22" t="s">
        <v>69</v>
      </c>
      <c r="G22">
        <v>136</v>
      </c>
      <c r="H22">
        <v>1873</v>
      </c>
      <c r="I22">
        <v>136</v>
      </c>
    </row>
    <row r="23" spans="1:9" x14ac:dyDescent="0.2">
      <c r="A23" t="s">
        <v>8</v>
      </c>
      <c r="B23" t="s">
        <v>70</v>
      </c>
      <c r="C23">
        <v>1874344</v>
      </c>
      <c r="D23" t="s">
        <v>71</v>
      </c>
      <c r="E23">
        <v>1875105</v>
      </c>
      <c r="F23" t="s">
        <v>72</v>
      </c>
      <c r="G23">
        <v>126</v>
      </c>
      <c r="H23">
        <v>1874</v>
      </c>
      <c r="I23">
        <v>126</v>
      </c>
    </row>
    <row r="24" spans="1:9" x14ac:dyDescent="0.2">
      <c r="A24" t="s">
        <v>8</v>
      </c>
      <c r="B24" t="s">
        <v>73</v>
      </c>
      <c r="C24">
        <v>187610</v>
      </c>
      <c r="D24" t="s">
        <v>74</v>
      </c>
      <c r="E24">
        <v>1876101</v>
      </c>
      <c r="F24" t="s">
        <v>75</v>
      </c>
      <c r="G24">
        <v>91</v>
      </c>
      <c r="H24">
        <v>1875</v>
      </c>
      <c r="I24">
        <v>91</v>
      </c>
    </row>
    <row r="25" spans="1:9" x14ac:dyDescent="0.2">
      <c r="A25" t="s">
        <v>8</v>
      </c>
      <c r="B25" t="s">
        <v>76</v>
      </c>
      <c r="C25">
        <v>1876343</v>
      </c>
      <c r="D25" t="s">
        <v>77</v>
      </c>
      <c r="E25">
        <v>1877107</v>
      </c>
      <c r="F25" t="s">
        <v>78</v>
      </c>
      <c r="G25">
        <v>130</v>
      </c>
      <c r="H25">
        <v>1876</v>
      </c>
      <c r="I25">
        <v>130</v>
      </c>
    </row>
    <row r="26" spans="1:9" x14ac:dyDescent="0.2">
      <c r="A26" t="s">
        <v>8</v>
      </c>
      <c r="B26" t="s">
        <v>79</v>
      </c>
      <c r="C26">
        <v>18786</v>
      </c>
      <c r="D26" t="s">
        <v>80</v>
      </c>
      <c r="E26">
        <v>187868</v>
      </c>
      <c r="F26" t="s">
        <v>81</v>
      </c>
      <c r="G26">
        <v>62</v>
      </c>
      <c r="H26">
        <v>1877</v>
      </c>
      <c r="I26">
        <v>62</v>
      </c>
    </row>
    <row r="27" spans="1:9" x14ac:dyDescent="0.2">
      <c r="A27" t="s">
        <v>8</v>
      </c>
      <c r="B27" t="s">
        <v>82</v>
      </c>
      <c r="C27">
        <v>1878355</v>
      </c>
      <c r="D27" t="s">
        <v>83</v>
      </c>
      <c r="E27">
        <v>1879102</v>
      </c>
      <c r="F27" t="s">
        <v>84</v>
      </c>
      <c r="G27">
        <v>112</v>
      </c>
      <c r="H27">
        <v>1878</v>
      </c>
      <c r="I27">
        <v>112</v>
      </c>
    </row>
    <row r="28" spans="1:9" x14ac:dyDescent="0.2">
      <c r="A28" t="s">
        <v>8</v>
      </c>
      <c r="B28" t="s">
        <v>85</v>
      </c>
      <c r="C28">
        <v>1879351</v>
      </c>
      <c r="D28" t="s">
        <v>86</v>
      </c>
      <c r="E28">
        <v>188085</v>
      </c>
      <c r="F28" t="s">
        <v>87</v>
      </c>
      <c r="G28">
        <v>99</v>
      </c>
      <c r="H28">
        <v>1879</v>
      </c>
      <c r="I28">
        <v>99</v>
      </c>
    </row>
    <row r="29" spans="1:9" x14ac:dyDescent="0.2">
      <c r="A29" t="s">
        <v>8</v>
      </c>
      <c r="B29" t="s">
        <v>88</v>
      </c>
      <c r="C29">
        <v>1880328</v>
      </c>
      <c r="D29" t="s">
        <v>89</v>
      </c>
      <c r="E29">
        <v>1881123</v>
      </c>
      <c r="F29" t="s">
        <v>90</v>
      </c>
      <c r="G29">
        <v>161</v>
      </c>
      <c r="H29">
        <v>1880</v>
      </c>
      <c r="I29">
        <v>161</v>
      </c>
    </row>
    <row r="30" spans="1:9" x14ac:dyDescent="0.2">
      <c r="A30" t="s">
        <v>8</v>
      </c>
      <c r="B30" t="s">
        <v>91</v>
      </c>
      <c r="C30">
        <v>18822</v>
      </c>
      <c r="D30" t="s">
        <v>92</v>
      </c>
      <c r="E30">
        <v>188280</v>
      </c>
      <c r="F30" t="s">
        <v>93</v>
      </c>
      <c r="G30">
        <v>78</v>
      </c>
      <c r="H30">
        <v>1881</v>
      </c>
      <c r="I30">
        <v>78</v>
      </c>
    </row>
    <row r="31" spans="1:9" x14ac:dyDescent="0.2">
      <c r="A31" t="s">
        <v>8</v>
      </c>
      <c r="B31" t="s">
        <v>94</v>
      </c>
      <c r="C31">
        <v>1882344</v>
      </c>
      <c r="D31" t="s">
        <v>95</v>
      </c>
      <c r="E31">
        <v>1883103</v>
      </c>
      <c r="F31" t="s">
        <v>96</v>
      </c>
      <c r="G31">
        <v>124</v>
      </c>
      <c r="H31">
        <v>1882</v>
      </c>
      <c r="I31">
        <v>124</v>
      </c>
    </row>
    <row r="32" spans="1:9" x14ac:dyDescent="0.2">
      <c r="A32" t="s">
        <v>8</v>
      </c>
      <c r="B32" t="s">
        <v>97</v>
      </c>
      <c r="C32">
        <v>1883352</v>
      </c>
      <c r="D32" t="s">
        <v>98</v>
      </c>
      <c r="E32">
        <v>1884106</v>
      </c>
      <c r="F32" t="s">
        <v>99</v>
      </c>
      <c r="G32">
        <v>119</v>
      </c>
      <c r="H32">
        <v>1883</v>
      </c>
      <c r="I32">
        <v>119</v>
      </c>
    </row>
    <row r="33" spans="1:9" x14ac:dyDescent="0.2">
      <c r="A33" t="s">
        <v>8</v>
      </c>
      <c r="B33" t="s">
        <v>100</v>
      </c>
      <c r="C33">
        <v>1884352</v>
      </c>
      <c r="D33" t="s">
        <v>101</v>
      </c>
      <c r="E33">
        <v>1885110</v>
      </c>
      <c r="F33" t="s">
        <v>102</v>
      </c>
      <c r="G33">
        <v>124</v>
      </c>
      <c r="H33">
        <v>1884</v>
      </c>
      <c r="I33">
        <v>124</v>
      </c>
    </row>
    <row r="34" spans="1:9" x14ac:dyDescent="0.2">
      <c r="A34" t="s">
        <v>8</v>
      </c>
      <c r="B34" t="s">
        <v>103</v>
      </c>
      <c r="C34">
        <v>1885346</v>
      </c>
      <c r="D34" t="s">
        <v>104</v>
      </c>
      <c r="E34">
        <v>1886109</v>
      </c>
      <c r="F34" t="s">
        <v>105</v>
      </c>
      <c r="G34">
        <v>128</v>
      </c>
      <c r="H34">
        <v>1885</v>
      </c>
      <c r="I34">
        <v>128</v>
      </c>
    </row>
    <row r="35" spans="1:9" x14ac:dyDescent="0.2">
      <c r="A35" t="s">
        <v>8</v>
      </c>
      <c r="B35" t="s">
        <v>106</v>
      </c>
      <c r="C35">
        <v>1886339</v>
      </c>
      <c r="D35" t="s">
        <v>107</v>
      </c>
      <c r="E35">
        <v>1887105</v>
      </c>
      <c r="F35" t="s">
        <v>108</v>
      </c>
      <c r="G35">
        <v>131</v>
      </c>
      <c r="H35">
        <v>1886</v>
      </c>
      <c r="I35">
        <v>131</v>
      </c>
    </row>
    <row r="36" spans="1:9" x14ac:dyDescent="0.2">
      <c r="A36" t="s">
        <v>8</v>
      </c>
      <c r="B36" t="s">
        <v>109</v>
      </c>
      <c r="C36">
        <v>1887358</v>
      </c>
      <c r="D36" t="s">
        <v>110</v>
      </c>
      <c r="E36">
        <v>1888106</v>
      </c>
      <c r="F36" t="s">
        <v>111</v>
      </c>
      <c r="G36">
        <v>113</v>
      </c>
      <c r="H36">
        <v>1887</v>
      </c>
      <c r="I36">
        <v>113</v>
      </c>
    </row>
    <row r="37" spans="1:9" x14ac:dyDescent="0.2">
      <c r="A37" t="s">
        <v>8</v>
      </c>
      <c r="B37" t="s">
        <v>112</v>
      </c>
      <c r="C37">
        <v>18892</v>
      </c>
      <c r="D37" t="s">
        <v>113</v>
      </c>
      <c r="E37">
        <v>188990</v>
      </c>
      <c r="F37" t="s">
        <v>114</v>
      </c>
      <c r="G37">
        <v>88</v>
      </c>
      <c r="H37">
        <v>1888</v>
      </c>
      <c r="I37">
        <v>88</v>
      </c>
    </row>
    <row r="38" spans="1:9" x14ac:dyDescent="0.2">
      <c r="A38" t="s">
        <v>8</v>
      </c>
      <c r="B38" t="s">
        <v>115</v>
      </c>
      <c r="C38">
        <v>189014</v>
      </c>
      <c r="D38" t="s">
        <v>116</v>
      </c>
      <c r="E38">
        <v>189089</v>
      </c>
      <c r="F38" t="s">
        <v>117</v>
      </c>
      <c r="G38">
        <v>75</v>
      </c>
      <c r="H38">
        <v>1889</v>
      </c>
      <c r="I38">
        <v>75</v>
      </c>
    </row>
    <row r="39" spans="1:9" x14ac:dyDescent="0.2">
      <c r="A39" t="s">
        <v>8</v>
      </c>
      <c r="B39" t="s">
        <v>118</v>
      </c>
      <c r="C39">
        <v>1890360</v>
      </c>
      <c r="D39" t="s">
        <v>119</v>
      </c>
      <c r="E39">
        <v>1891106</v>
      </c>
      <c r="F39" t="s">
        <v>120</v>
      </c>
      <c r="G39">
        <v>111</v>
      </c>
      <c r="H39">
        <v>1890</v>
      </c>
      <c r="I39">
        <v>111</v>
      </c>
    </row>
    <row r="40" spans="1:9" x14ac:dyDescent="0.2">
      <c r="A40" t="s">
        <v>8</v>
      </c>
      <c r="B40" t="s">
        <v>121</v>
      </c>
      <c r="C40">
        <v>1891361</v>
      </c>
      <c r="D40" t="s">
        <v>122</v>
      </c>
      <c r="E40">
        <v>189293</v>
      </c>
      <c r="F40" t="s">
        <v>123</v>
      </c>
      <c r="G40">
        <v>97</v>
      </c>
      <c r="H40">
        <v>1891</v>
      </c>
      <c r="I40">
        <v>97</v>
      </c>
    </row>
    <row r="41" spans="1:9" x14ac:dyDescent="0.2">
      <c r="A41" t="s">
        <v>8</v>
      </c>
      <c r="B41" t="s">
        <v>124</v>
      </c>
      <c r="C41">
        <v>1892351</v>
      </c>
      <c r="D41" t="s">
        <v>125</v>
      </c>
      <c r="E41">
        <v>189397</v>
      </c>
      <c r="F41" t="s">
        <v>126</v>
      </c>
      <c r="G41">
        <v>112</v>
      </c>
      <c r="H41">
        <v>1892</v>
      </c>
      <c r="I41">
        <v>112</v>
      </c>
    </row>
    <row r="42" spans="1:9" x14ac:dyDescent="0.2">
      <c r="A42" t="s">
        <v>8</v>
      </c>
      <c r="B42" t="s">
        <v>127</v>
      </c>
      <c r="C42">
        <v>1893338</v>
      </c>
      <c r="D42" t="s">
        <v>128</v>
      </c>
      <c r="E42">
        <v>189474</v>
      </c>
      <c r="F42" t="s">
        <v>129</v>
      </c>
      <c r="G42">
        <v>101</v>
      </c>
      <c r="H42">
        <v>1893</v>
      </c>
      <c r="I42">
        <v>101</v>
      </c>
    </row>
    <row r="43" spans="1:9" x14ac:dyDescent="0.2">
      <c r="A43" t="s">
        <v>8</v>
      </c>
      <c r="B43" t="s">
        <v>130</v>
      </c>
      <c r="C43">
        <v>1894362</v>
      </c>
      <c r="D43" t="s">
        <v>131</v>
      </c>
      <c r="E43">
        <v>189598</v>
      </c>
      <c r="F43" t="s">
        <v>132</v>
      </c>
      <c r="G43">
        <v>101</v>
      </c>
      <c r="H43">
        <v>1894</v>
      </c>
      <c r="I43">
        <v>101</v>
      </c>
    </row>
    <row r="44" spans="1:9" x14ac:dyDescent="0.2">
      <c r="A44" t="s">
        <v>8</v>
      </c>
      <c r="B44" t="s">
        <v>133</v>
      </c>
      <c r="C44">
        <v>18965</v>
      </c>
      <c r="D44" t="s">
        <v>134</v>
      </c>
      <c r="E44">
        <v>189696</v>
      </c>
      <c r="F44" t="s">
        <v>135</v>
      </c>
      <c r="G44">
        <v>91</v>
      </c>
      <c r="H44">
        <v>1895</v>
      </c>
      <c r="I44">
        <v>91</v>
      </c>
    </row>
    <row r="45" spans="1:9" x14ac:dyDescent="0.2">
      <c r="A45" t="s">
        <v>8</v>
      </c>
      <c r="B45" t="s">
        <v>136</v>
      </c>
      <c r="C45">
        <v>1896356</v>
      </c>
      <c r="D45" t="s">
        <v>137</v>
      </c>
      <c r="E45">
        <v>1897100</v>
      </c>
      <c r="F45" t="s">
        <v>138</v>
      </c>
      <c r="G45">
        <v>110</v>
      </c>
      <c r="H45">
        <v>1896</v>
      </c>
      <c r="I45">
        <v>110</v>
      </c>
    </row>
    <row r="46" spans="1:9" x14ac:dyDescent="0.2">
      <c r="A46" t="s">
        <v>8</v>
      </c>
      <c r="B46" t="s">
        <v>139</v>
      </c>
      <c r="C46">
        <v>1897351</v>
      </c>
      <c r="D46" t="s">
        <v>140</v>
      </c>
      <c r="E46">
        <v>189886</v>
      </c>
      <c r="F46" t="s">
        <v>141</v>
      </c>
      <c r="G46">
        <v>100</v>
      </c>
      <c r="H46">
        <v>1897</v>
      </c>
      <c r="I46">
        <v>100</v>
      </c>
    </row>
    <row r="47" spans="1:9" x14ac:dyDescent="0.2">
      <c r="A47" t="s">
        <v>8</v>
      </c>
      <c r="B47" t="s">
        <v>142</v>
      </c>
      <c r="C47">
        <v>1898343</v>
      </c>
      <c r="D47" t="s">
        <v>143</v>
      </c>
      <c r="E47">
        <v>1899108</v>
      </c>
      <c r="F47" t="s">
        <v>144</v>
      </c>
      <c r="G47">
        <v>130</v>
      </c>
      <c r="H47">
        <v>1898</v>
      </c>
      <c r="I47">
        <v>130</v>
      </c>
    </row>
    <row r="48" spans="1:9" x14ac:dyDescent="0.2">
      <c r="A48" t="s">
        <v>8</v>
      </c>
      <c r="B48" t="s">
        <v>145</v>
      </c>
      <c r="C48">
        <v>1899361</v>
      </c>
      <c r="D48" t="s">
        <v>146</v>
      </c>
      <c r="E48">
        <v>1900107</v>
      </c>
      <c r="F48" s="1">
        <v>108</v>
      </c>
      <c r="G48">
        <v>111</v>
      </c>
      <c r="H48">
        <v>1899</v>
      </c>
      <c r="I48">
        <v>111</v>
      </c>
    </row>
    <row r="49" spans="1:9" x14ac:dyDescent="0.2">
      <c r="A49" t="s">
        <v>8</v>
      </c>
      <c r="B49" t="s">
        <v>147</v>
      </c>
      <c r="C49">
        <v>1900359</v>
      </c>
      <c r="D49" s="1">
        <v>360</v>
      </c>
      <c r="E49">
        <v>1901101</v>
      </c>
      <c r="F49" s="1">
        <v>467</v>
      </c>
      <c r="G49">
        <v>107</v>
      </c>
      <c r="H49">
        <v>1900</v>
      </c>
      <c r="I49">
        <v>107</v>
      </c>
    </row>
    <row r="50" spans="1:9" x14ac:dyDescent="0.2">
      <c r="A50" t="s">
        <v>8</v>
      </c>
      <c r="B50" t="s">
        <v>148</v>
      </c>
      <c r="C50">
        <v>1901349</v>
      </c>
      <c r="D50" s="1">
        <v>715</v>
      </c>
      <c r="E50">
        <v>190289</v>
      </c>
      <c r="F50" s="1">
        <v>820</v>
      </c>
      <c r="G50">
        <v>105</v>
      </c>
      <c r="H50">
        <v>1901</v>
      </c>
      <c r="I50">
        <v>105</v>
      </c>
    </row>
    <row r="51" spans="1:9" x14ac:dyDescent="0.2">
      <c r="A51" t="s">
        <v>8</v>
      </c>
      <c r="B51" t="s">
        <v>149</v>
      </c>
      <c r="C51">
        <v>1902359</v>
      </c>
      <c r="D51" s="1">
        <v>1090</v>
      </c>
      <c r="E51">
        <v>190383</v>
      </c>
      <c r="F51" s="1">
        <v>1179</v>
      </c>
      <c r="G51">
        <v>89</v>
      </c>
      <c r="H51">
        <v>1902</v>
      </c>
      <c r="I51">
        <v>89</v>
      </c>
    </row>
    <row r="52" spans="1:9" x14ac:dyDescent="0.2">
      <c r="A52" t="s">
        <v>8</v>
      </c>
      <c r="B52" t="s">
        <v>150</v>
      </c>
      <c r="C52">
        <v>1903347</v>
      </c>
      <c r="D52" s="1">
        <v>1443</v>
      </c>
      <c r="E52">
        <v>1904108</v>
      </c>
      <c r="F52" s="1">
        <v>1569</v>
      </c>
      <c r="G52">
        <v>126</v>
      </c>
      <c r="H52">
        <v>1903</v>
      </c>
      <c r="I52">
        <v>126</v>
      </c>
    </row>
    <row r="53" spans="1:9" x14ac:dyDescent="0.2">
      <c r="A53" t="s">
        <v>8</v>
      </c>
      <c r="B53" t="s">
        <v>151</v>
      </c>
      <c r="C53">
        <v>1904349</v>
      </c>
      <c r="D53" s="1">
        <v>1810</v>
      </c>
      <c r="E53">
        <v>190591</v>
      </c>
      <c r="F53" s="1">
        <v>1918</v>
      </c>
      <c r="G53">
        <v>108</v>
      </c>
      <c r="H53">
        <v>1904</v>
      </c>
      <c r="I53">
        <v>108</v>
      </c>
    </row>
    <row r="54" spans="1:9" x14ac:dyDescent="0.2">
      <c r="A54" t="s">
        <v>8</v>
      </c>
      <c r="B54" t="s">
        <v>152</v>
      </c>
      <c r="C54">
        <v>19061</v>
      </c>
      <c r="D54" s="1">
        <v>2193</v>
      </c>
      <c r="E54">
        <v>190698</v>
      </c>
      <c r="F54" s="1">
        <v>2290</v>
      </c>
      <c r="G54">
        <v>97</v>
      </c>
      <c r="H54">
        <v>1905</v>
      </c>
      <c r="I54">
        <v>97</v>
      </c>
    </row>
    <row r="55" spans="1:9" x14ac:dyDescent="0.2">
      <c r="A55" t="s">
        <v>8</v>
      </c>
      <c r="B55" t="s">
        <v>153</v>
      </c>
      <c r="C55">
        <v>1906354</v>
      </c>
      <c r="D55" s="1">
        <v>2546</v>
      </c>
      <c r="E55">
        <v>190783</v>
      </c>
      <c r="F55" s="1">
        <v>2640</v>
      </c>
      <c r="G55">
        <v>94</v>
      </c>
      <c r="H55">
        <v>1906</v>
      </c>
      <c r="I55">
        <v>94</v>
      </c>
    </row>
    <row r="56" spans="1:9" x14ac:dyDescent="0.2">
      <c r="A56" t="s">
        <v>8</v>
      </c>
      <c r="B56" t="s">
        <v>154</v>
      </c>
      <c r="C56">
        <v>19081</v>
      </c>
      <c r="D56" s="1">
        <v>2923</v>
      </c>
      <c r="E56">
        <v>190884</v>
      </c>
      <c r="F56" s="1">
        <v>3006</v>
      </c>
      <c r="G56">
        <v>83</v>
      </c>
      <c r="H56">
        <v>1907</v>
      </c>
      <c r="I56">
        <v>83</v>
      </c>
    </row>
    <row r="57" spans="1:9" x14ac:dyDescent="0.2">
      <c r="A57" t="s">
        <v>8</v>
      </c>
      <c r="B57" t="s">
        <v>155</v>
      </c>
      <c r="C57">
        <v>1908357</v>
      </c>
      <c r="D57" s="1">
        <v>3279</v>
      </c>
      <c r="E57">
        <v>190997</v>
      </c>
      <c r="F57" s="1">
        <v>3385</v>
      </c>
      <c r="G57">
        <v>106</v>
      </c>
      <c r="H57">
        <v>1908</v>
      </c>
      <c r="I57">
        <v>106</v>
      </c>
    </row>
    <row r="58" spans="1:9" x14ac:dyDescent="0.2">
      <c r="A58" t="s">
        <v>8</v>
      </c>
      <c r="B58" t="s">
        <v>156</v>
      </c>
      <c r="C58">
        <v>1909352</v>
      </c>
      <c r="D58" s="1">
        <v>3640</v>
      </c>
      <c r="E58">
        <v>191085</v>
      </c>
      <c r="F58" s="1">
        <v>3738</v>
      </c>
      <c r="G58">
        <v>98</v>
      </c>
      <c r="H58">
        <v>1909</v>
      </c>
      <c r="I58">
        <v>98</v>
      </c>
    </row>
    <row r="59" spans="1:9" x14ac:dyDescent="0.2">
      <c r="A59" t="s">
        <v>8</v>
      </c>
      <c r="B59" t="s">
        <v>157</v>
      </c>
      <c r="C59">
        <v>1910343</v>
      </c>
      <c r="D59" s="1">
        <v>3996</v>
      </c>
      <c r="E59">
        <v>191179</v>
      </c>
      <c r="F59" s="1">
        <v>4097</v>
      </c>
      <c r="G59">
        <v>101</v>
      </c>
      <c r="H59">
        <v>1910</v>
      </c>
      <c r="I59">
        <v>101</v>
      </c>
    </row>
    <row r="60" spans="1:9" x14ac:dyDescent="0.2">
      <c r="A60" t="s">
        <v>8</v>
      </c>
      <c r="B60" t="s">
        <v>158</v>
      </c>
      <c r="C60">
        <v>1911362</v>
      </c>
      <c r="D60" s="1">
        <v>4380</v>
      </c>
      <c r="E60">
        <v>1912105</v>
      </c>
      <c r="F60" s="1">
        <v>4488</v>
      </c>
      <c r="G60">
        <v>108</v>
      </c>
      <c r="H60">
        <v>1911</v>
      </c>
      <c r="I60">
        <v>108</v>
      </c>
    </row>
    <row r="61" spans="1:9" x14ac:dyDescent="0.2">
      <c r="A61" t="s">
        <v>8</v>
      </c>
      <c r="B61" t="s">
        <v>159</v>
      </c>
      <c r="C61">
        <v>1912359</v>
      </c>
      <c r="D61" s="1">
        <v>4742</v>
      </c>
      <c r="E61">
        <v>191392</v>
      </c>
      <c r="F61" s="1">
        <v>4841</v>
      </c>
      <c r="G61">
        <v>99</v>
      </c>
      <c r="H61">
        <v>1912</v>
      </c>
      <c r="I61">
        <v>99</v>
      </c>
    </row>
    <row r="62" spans="1:9" x14ac:dyDescent="0.2">
      <c r="A62" t="s">
        <v>8</v>
      </c>
      <c r="B62" t="s">
        <v>160</v>
      </c>
      <c r="C62">
        <v>191412</v>
      </c>
      <c r="D62" s="1">
        <v>5126</v>
      </c>
      <c r="E62">
        <v>1914100</v>
      </c>
      <c r="F62" s="1">
        <v>5214</v>
      </c>
      <c r="G62">
        <v>88</v>
      </c>
      <c r="H62">
        <v>1913</v>
      </c>
      <c r="I62">
        <v>88</v>
      </c>
    </row>
    <row r="63" spans="1:9" x14ac:dyDescent="0.2">
      <c r="A63" t="s">
        <v>8</v>
      </c>
      <c r="B63" t="s">
        <v>161</v>
      </c>
      <c r="C63">
        <v>1914350</v>
      </c>
      <c r="D63" s="1">
        <v>5464</v>
      </c>
      <c r="E63">
        <v>1915100</v>
      </c>
      <c r="F63" s="1">
        <v>5579</v>
      </c>
      <c r="G63">
        <v>115</v>
      </c>
      <c r="H63">
        <v>1914</v>
      </c>
      <c r="I63">
        <v>115</v>
      </c>
    </row>
    <row r="64" spans="1:9" x14ac:dyDescent="0.2">
      <c r="A64" t="s">
        <v>8</v>
      </c>
      <c r="B64" t="s">
        <v>162</v>
      </c>
      <c r="C64">
        <v>1915362</v>
      </c>
      <c r="D64" s="1">
        <v>5841</v>
      </c>
      <c r="E64">
        <v>191699</v>
      </c>
      <c r="F64" s="1">
        <v>5943</v>
      </c>
      <c r="G64">
        <v>102</v>
      </c>
      <c r="H64">
        <v>1915</v>
      </c>
      <c r="I64">
        <v>102</v>
      </c>
    </row>
    <row r="65" spans="1:9" x14ac:dyDescent="0.2">
      <c r="A65" t="s">
        <v>8</v>
      </c>
      <c r="B65" t="s">
        <v>163</v>
      </c>
      <c r="C65">
        <v>1916351</v>
      </c>
      <c r="D65" s="1">
        <v>6195</v>
      </c>
      <c r="E65">
        <v>1917101</v>
      </c>
      <c r="F65" s="1">
        <v>6311</v>
      </c>
      <c r="G65">
        <v>116</v>
      </c>
      <c r="H65">
        <v>1916</v>
      </c>
      <c r="I65">
        <v>116</v>
      </c>
    </row>
    <row r="66" spans="1:9" x14ac:dyDescent="0.2">
      <c r="A66" t="s">
        <v>8</v>
      </c>
      <c r="B66" t="s">
        <v>164</v>
      </c>
      <c r="C66">
        <v>1917345</v>
      </c>
      <c r="D66" s="1">
        <v>6555</v>
      </c>
      <c r="E66">
        <v>191895</v>
      </c>
      <c r="F66" s="1">
        <v>6670</v>
      </c>
      <c r="G66">
        <v>115</v>
      </c>
      <c r="H66">
        <v>1917</v>
      </c>
      <c r="I66">
        <v>115</v>
      </c>
    </row>
    <row r="67" spans="1:9" x14ac:dyDescent="0.2">
      <c r="A67" t="s">
        <v>8</v>
      </c>
      <c r="B67" t="s">
        <v>165</v>
      </c>
      <c r="C67">
        <v>19193</v>
      </c>
      <c r="D67" s="1">
        <v>6943</v>
      </c>
      <c r="E67">
        <v>191985</v>
      </c>
      <c r="F67" s="1">
        <v>7025</v>
      </c>
      <c r="G67">
        <v>82</v>
      </c>
      <c r="H67">
        <v>1918</v>
      </c>
      <c r="I67">
        <v>82</v>
      </c>
    </row>
    <row r="68" spans="1:9" x14ac:dyDescent="0.2">
      <c r="A68" t="s">
        <v>8</v>
      </c>
      <c r="B68" t="s">
        <v>166</v>
      </c>
      <c r="C68">
        <v>1919343</v>
      </c>
      <c r="D68" s="1">
        <v>7283</v>
      </c>
      <c r="E68">
        <v>192088</v>
      </c>
      <c r="F68" s="1">
        <v>7393</v>
      </c>
      <c r="G68">
        <v>110</v>
      </c>
      <c r="H68">
        <v>1919</v>
      </c>
      <c r="I68">
        <v>110</v>
      </c>
    </row>
    <row r="69" spans="1:9" x14ac:dyDescent="0.2">
      <c r="A69" t="s">
        <v>8</v>
      </c>
      <c r="B69" t="s">
        <v>167</v>
      </c>
      <c r="C69">
        <v>1920360</v>
      </c>
      <c r="D69" s="1">
        <v>7665</v>
      </c>
      <c r="E69">
        <v>192175</v>
      </c>
      <c r="F69" s="1">
        <v>7746</v>
      </c>
      <c r="G69">
        <v>81</v>
      </c>
      <c r="H69">
        <v>1920</v>
      </c>
      <c r="I69">
        <v>81</v>
      </c>
    </row>
    <row r="70" spans="1:9" x14ac:dyDescent="0.2">
      <c r="A70" t="s">
        <v>8</v>
      </c>
      <c r="B70" t="s">
        <v>168</v>
      </c>
      <c r="C70">
        <v>1921359</v>
      </c>
      <c r="D70" s="1">
        <v>8030</v>
      </c>
      <c r="E70">
        <v>192290</v>
      </c>
      <c r="F70" s="1">
        <v>8126</v>
      </c>
      <c r="G70">
        <v>96</v>
      </c>
      <c r="H70">
        <v>1921</v>
      </c>
      <c r="I70">
        <v>96</v>
      </c>
    </row>
    <row r="71" spans="1:9" x14ac:dyDescent="0.2">
      <c r="A71" t="s">
        <v>8</v>
      </c>
      <c r="B71" t="s">
        <v>169</v>
      </c>
      <c r="C71">
        <v>1922350</v>
      </c>
      <c r="D71" s="1">
        <v>8386</v>
      </c>
      <c r="E71">
        <v>1923110</v>
      </c>
      <c r="F71" s="1">
        <v>8511</v>
      </c>
      <c r="G71">
        <v>125</v>
      </c>
      <c r="H71">
        <v>1922</v>
      </c>
      <c r="I71">
        <v>125</v>
      </c>
    </row>
    <row r="72" spans="1:9" x14ac:dyDescent="0.2">
      <c r="A72" t="s">
        <v>8</v>
      </c>
      <c r="B72" t="s">
        <v>170</v>
      </c>
      <c r="C72">
        <v>19241</v>
      </c>
      <c r="D72" s="1">
        <v>8767</v>
      </c>
      <c r="E72">
        <v>1924105</v>
      </c>
      <c r="F72" s="1">
        <v>8871</v>
      </c>
      <c r="G72">
        <v>104</v>
      </c>
      <c r="H72">
        <v>1923</v>
      </c>
      <c r="I72">
        <v>104</v>
      </c>
    </row>
    <row r="73" spans="1:9" x14ac:dyDescent="0.2">
      <c r="A73" t="s">
        <v>8</v>
      </c>
      <c r="B73" t="s">
        <v>171</v>
      </c>
      <c r="C73">
        <v>1924354</v>
      </c>
      <c r="D73" s="1">
        <v>9120</v>
      </c>
      <c r="E73">
        <v>192593</v>
      </c>
      <c r="F73" s="1">
        <v>9225</v>
      </c>
      <c r="G73">
        <v>105</v>
      </c>
      <c r="H73">
        <v>1924</v>
      </c>
      <c r="I73">
        <v>105</v>
      </c>
    </row>
    <row r="74" spans="1:9" x14ac:dyDescent="0.2">
      <c r="A74" t="s">
        <v>8</v>
      </c>
      <c r="B74" t="s">
        <v>172</v>
      </c>
      <c r="C74">
        <v>1925350</v>
      </c>
      <c r="D74" s="1">
        <v>9482</v>
      </c>
      <c r="E74">
        <v>1926109</v>
      </c>
      <c r="F74" s="1">
        <v>9606</v>
      </c>
      <c r="G74">
        <v>124</v>
      </c>
      <c r="H74">
        <v>1925</v>
      </c>
      <c r="I74">
        <v>124</v>
      </c>
    </row>
    <row r="75" spans="1:9" x14ac:dyDescent="0.2">
      <c r="A75" t="s">
        <v>8</v>
      </c>
      <c r="B75" t="s">
        <v>173</v>
      </c>
      <c r="C75">
        <v>1926340</v>
      </c>
      <c r="D75" s="1">
        <v>9837</v>
      </c>
      <c r="E75">
        <v>192778</v>
      </c>
      <c r="F75" s="1">
        <v>9940</v>
      </c>
      <c r="G75">
        <v>103</v>
      </c>
      <c r="H75">
        <v>1926</v>
      </c>
      <c r="I75">
        <v>103</v>
      </c>
    </row>
    <row r="76" spans="1:9" x14ac:dyDescent="0.2">
      <c r="A76" t="s">
        <v>8</v>
      </c>
      <c r="B76" t="s">
        <v>174</v>
      </c>
      <c r="C76">
        <v>1927351</v>
      </c>
      <c r="D76" s="1">
        <v>10213</v>
      </c>
      <c r="E76">
        <v>192892</v>
      </c>
      <c r="F76" s="1">
        <v>10319</v>
      </c>
      <c r="G76">
        <v>106</v>
      </c>
      <c r="H76">
        <v>1927</v>
      </c>
      <c r="I76">
        <v>106</v>
      </c>
    </row>
    <row r="77" spans="1:9" x14ac:dyDescent="0.2">
      <c r="A77" t="s">
        <v>8</v>
      </c>
      <c r="B77" t="s">
        <v>175</v>
      </c>
      <c r="C77">
        <v>1928356</v>
      </c>
      <c r="D77" s="1">
        <v>10583</v>
      </c>
      <c r="E77">
        <v>192986</v>
      </c>
      <c r="F77" s="1">
        <v>10679</v>
      </c>
      <c r="G77">
        <v>96</v>
      </c>
      <c r="H77">
        <v>1928</v>
      </c>
      <c r="I77">
        <v>96</v>
      </c>
    </row>
    <row r="78" spans="1:9" x14ac:dyDescent="0.2">
      <c r="A78" t="s">
        <v>8</v>
      </c>
      <c r="B78" t="s">
        <v>176</v>
      </c>
      <c r="C78">
        <v>1929337</v>
      </c>
      <c r="D78" s="1">
        <v>10930</v>
      </c>
      <c r="E78">
        <v>193079</v>
      </c>
      <c r="F78" s="1">
        <v>11037</v>
      </c>
      <c r="G78">
        <v>107</v>
      </c>
      <c r="H78">
        <v>1929</v>
      </c>
      <c r="I78">
        <v>107</v>
      </c>
    </row>
    <row r="79" spans="1:9" x14ac:dyDescent="0.2">
      <c r="A79" t="s">
        <v>8</v>
      </c>
      <c r="B79" t="s">
        <v>177</v>
      </c>
      <c r="C79">
        <v>1930350</v>
      </c>
      <c r="D79" s="1">
        <v>11308</v>
      </c>
      <c r="E79">
        <v>193183</v>
      </c>
      <c r="F79" s="1">
        <v>11406</v>
      </c>
      <c r="G79">
        <v>98</v>
      </c>
      <c r="H79">
        <v>1930</v>
      </c>
      <c r="I79">
        <v>98</v>
      </c>
    </row>
    <row r="80" spans="1:9" x14ac:dyDescent="0.2">
      <c r="A80" t="s">
        <v>8</v>
      </c>
      <c r="B80" t="s">
        <v>178</v>
      </c>
      <c r="C80">
        <v>193230</v>
      </c>
      <c r="D80" s="1">
        <v>11718</v>
      </c>
      <c r="E80">
        <v>193295</v>
      </c>
      <c r="F80" s="1">
        <v>11783</v>
      </c>
      <c r="G80">
        <v>65</v>
      </c>
      <c r="H80">
        <v>1931</v>
      </c>
      <c r="I80">
        <v>65</v>
      </c>
    </row>
    <row r="81" spans="1:9" x14ac:dyDescent="0.2">
      <c r="A81" t="s">
        <v>8</v>
      </c>
      <c r="B81" t="s">
        <v>179</v>
      </c>
      <c r="C81">
        <v>1932345</v>
      </c>
      <c r="D81" s="1">
        <v>12033</v>
      </c>
      <c r="E81">
        <v>193394</v>
      </c>
      <c r="F81" s="1">
        <v>12148</v>
      </c>
      <c r="G81">
        <v>115</v>
      </c>
      <c r="H81">
        <v>1932</v>
      </c>
      <c r="I81">
        <v>115</v>
      </c>
    </row>
    <row r="82" spans="1:9" x14ac:dyDescent="0.2">
      <c r="A82" t="s">
        <v>8</v>
      </c>
      <c r="B82" t="s">
        <v>180</v>
      </c>
      <c r="C82">
        <v>1933359</v>
      </c>
      <c r="D82" s="1">
        <v>12413</v>
      </c>
      <c r="E82">
        <v>193485</v>
      </c>
      <c r="F82" s="1">
        <v>12504</v>
      </c>
      <c r="G82">
        <v>91</v>
      </c>
      <c r="H82">
        <v>1933</v>
      </c>
      <c r="I82">
        <v>91</v>
      </c>
    </row>
    <row r="83" spans="1:9" x14ac:dyDescent="0.2">
      <c r="A83" t="s">
        <v>8</v>
      </c>
      <c r="B83" t="s">
        <v>181</v>
      </c>
      <c r="C83">
        <v>1934358</v>
      </c>
      <c r="D83" s="1">
        <v>12777</v>
      </c>
      <c r="E83">
        <v>193587</v>
      </c>
      <c r="F83" s="1">
        <v>12871</v>
      </c>
      <c r="G83">
        <v>94</v>
      </c>
      <c r="H83">
        <v>1934</v>
      </c>
      <c r="I83">
        <v>94</v>
      </c>
    </row>
    <row r="84" spans="1:9" x14ac:dyDescent="0.2">
      <c r="A84" t="s">
        <v>8</v>
      </c>
      <c r="B84" t="s">
        <v>182</v>
      </c>
      <c r="C84">
        <v>1935354</v>
      </c>
      <c r="D84" s="1">
        <v>13138</v>
      </c>
      <c r="E84">
        <v>193690</v>
      </c>
      <c r="F84" s="1">
        <v>13239</v>
      </c>
      <c r="G84">
        <v>101</v>
      </c>
      <c r="H84">
        <v>1935</v>
      </c>
      <c r="I84">
        <v>101</v>
      </c>
    </row>
    <row r="85" spans="1:9" x14ac:dyDescent="0.2">
      <c r="A85" t="s">
        <v>8</v>
      </c>
      <c r="B85" t="s">
        <v>183</v>
      </c>
      <c r="C85">
        <v>1936342</v>
      </c>
      <c r="D85" s="1">
        <v>13491</v>
      </c>
      <c r="E85">
        <v>1937103</v>
      </c>
      <c r="F85" s="1">
        <v>13618</v>
      </c>
      <c r="G85">
        <v>121</v>
      </c>
      <c r="H85">
        <v>1936</v>
      </c>
      <c r="I85">
        <v>121</v>
      </c>
    </row>
    <row r="86" spans="1:9" x14ac:dyDescent="0.2">
      <c r="A86" t="s">
        <v>8</v>
      </c>
      <c r="B86" t="s">
        <v>184</v>
      </c>
      <c r="C86">
        <v>1937341</v>
      </c>
      <c r="D86" s="1">
        <v>13856</v>
      </c>
      <c r="E86">
        <v>193881</v>
      </c>
      <c r="F86" s="1">
        <v>13961</v>
      </c>
      <c r="G86">
        <v>105</v>
      </c>
      <c r="H86">
        <v>1937</v>
      </c>
      <c r="I86">
        <v>105</v>
      </c>
    </row>
    <row r="87" spans="1:9" x14ac:dyDescent="0.2">
      <c r="A87" t="s">
        <v>8</v>
      </c>
      <c r="B87" t="s">
        <v>185</v>
      </c>
      <c r="C87">
        <v>1938362</v>
      </c>
      <c r="D87" s="1">
        <v>14242</v>
      </c>
      <c r="E87">
        <v>193994</v>
      </c>
      <c r="F87" s="1">
        <v>14339</v>
      </c>
      <c r="G87">
        <v>97</v>
      </c>
      <c r="H87">
        <v>1938</v>
      </c>
      <c r="I87">
        <v>97</v>
      </c>
    </row>
    <row r="88" spans="1:9" x14ac:dyDescent="0.2">
      <c r="A88" t="s">
        <v>8</v>
      </c>
      <c r="B88" t="s">
        <v>186</v>
      </c>
      <c r="C88">
        <v>19402</v>
      </c>
      <c r="D88" s="1">
        <v>14612</v>
      </c>
      <c r="E88">
        <v>1940107</v>
      </c>
      <c r="F88" s="1">
        <v>14717</v>
      </c>
      <c r="G88">
        <v>105</v>
      </c>
      <c r="H88">
        <v>1939</v>
      </c>
      <c r="I88">
        <v>105</v>
      </c>
    </row>
    <row r="89" spans="1:9" x14ac:dyDescent="0.2">
      <c r="A89" t="s">
        <v>8</v>
      </c>
      <c r="B89" t="s">
        <v>187</v>
      </c>
      <c r="C89">
        <v>19415</v>
      </c>
      <c r="D89" s="1">
        <v>14981</v>
      </c>
      <c r="E89">
        <v>1941101</v>
      </c>
      <c r="F89" s="1">
        <v>15077</v>
      </c>
      <c r="G89">
        <v>96</v>
      </c>
      <c r="H89">
        <v>1940</v>
      </c>
      <c r="I89">
        <v>96</v>
      </c>
    </row>
    <row r="90" spans="1:9" x14ac:dyDescent="0.2">
      <c r="A90" t="s">
        <v>8</v>
      </c>
      <c r="B90" t="s">
        <v>188</v>
      </c>
      <c r="C90">
        <v>19423</v>
      </c>
      <c r="D90" s="1">
        <v>15344</v>
      </c>
      <c r="E90">
        <v>194285</v>
      </c>
      <c r="F90" s="1">
        <v>15426</v>
      </c>
      <c r="G90">
        <v>82</v>
      </c>
      <c r="H90">
        <v>1941</v>
      </c>
      <c r="I90">
        <v>82</v>
      </c>
    </row>
    <row r="91" spans="1:9" x14ac:dyDescent="0.2">
      <c r="A91" t="s">
        <v>8</v>
      </c>
      <c r="B91" t="s">
        <v>189</v>
      </c>
      <c r="C91">
        <v>1942341</v>
      </c>
      <c r="D91" s="1">
        <v>15682</v>
      </c>
      <c r="E91">
        <v>194392</v>
      </c>
      <c r="F91" s="1">
        <v>15798</v>
      </c>
      <c r="G91">
        <v>116</v>
      </c>
      <c r="H91">
        <v>1942</v>
      </c>
      <c r="I91">
        <v>116</v>
      </c>
    </row>
    <row r="92" spans="1:9" x14ac:dyDescent="0.2">
      <c r="A92" t="s">
        <v>8</v>
      </c>
      <c r="B92" t="s">
        <v>190</v>
      </c>
      <c r="C92">
        <v>1943350</v>
      </c>
      <c r="D92" s="1">
        <v>16056</v>
      </c>
      <c r="E92">
        <v>194499</v>
      </c>
      <c r="F92" s="1">
        <v>16170</v>
      </c>
      <c r="G92">
        <v>114</v>
      </c>
      <c r="H92">
        <v>1943</v>
      </c>
      <c r="I92">
        <v>114</v>
      </c>
    </row>
    <row r="93" spans="1:9" x14ac:dyDescent="0.2">
      <c r="A93" t="s">
        <v>8</v>
      </c>
      <c r="B93" t="s">
        <v>191</v>
      </c>
      <c r="C93">
        <v>1944353</v>
      </c>
      <c r="D93" s="1">
        <v>16424</v>
      </c>
      <c r="E93">
        <v>194579</v>
      </c>
      <c r="F93" s="1">
        <v>16516</v>
      </c>
      <c r="G93">
        <v>92</v>
      </c>
      <c r="H93">
        <v>1944</v>
      </c>
      <c r="I93">
        <v>92</v>
      </c>
    </row>
    <row r="94" spans="1:9" x14ac:dyDescent="0.2">
      <c r="A94" t="s">
        <v>8</v>
      </c>
      <c r="B94" t="s">
        <v>192</v>
      </c>
      <c r="C94">
        <v>1945347</v>
      </c>
      <c r="D94" s="1">
        <v>16784</v>
      </c>
      <c r="E94">
        <v>194680</v>
      </c>
      <c r="F94" s="1">
        <v>16882</v>
      </c>
      <c r="G94">
        <v>98</v>
      </c>
      <c r="H94">
        <v>1945</v>
      </c>
      <c r="I94">
        <v>98</v>
      </c>
    </row>
    <row r="95" spans="1:9" x14ac:dyDescent="0.2">
      <c r="A95" t="s">
        <v>8</v>
      </c>
      <c r="B95" t="s">
        <v>193</v>
      </c>
      <c r="C95">
        <v>1946364</v>
      </c>
      <c r="D95" s="1">
        <v>17166</v>
      </c>
      <c r="E95">
        <v>1947100</v>
      </c>
      <c r="F95" s="1">
        <v>17267</v>
      </c>
      <c r="G95">
        <v>101</v>
      </c>
      <c r="H95">
        <v>1946</v>
      </c>
      <c r="I95">
        <v>101</v>
      </c>
    </row>
    <row r="96" spans="1:9" x14ac:dyDescent="0.2">
      <c r="A96" t="s">
        <v>8</v>
      </c>
      <c r="B96" t="s">
        <v>194</v>
      </c>
      <c r="C96">
        <v>1947355</v>
      </c>
      <c r="D96" s="1">
        <v>17522</v>
      </c>
      <c r="E96">
        <v>194894</v>
      </c>
      <c r="F96" s="1">
        <v>17626</v>
      </c>
      <c r="G96">
        <v>104</v>
      </c>
      <c r="H96">
        <v>1947</v>
      </c>
      <c r="I96">
        <v>104</v>
      </c>
    </row>
    <row r="97" spans="1:9" x14ac:dyDescent="0.2">
      <c r="A97" t="s">
        <v>8</v>
      </c>
      <c r="B97" t="s">
        <v>195</v>
      </c>
      <c r="C97">
        <v>1948359</v>
      </c>
      <c r="D97" s="1">
        <v>17891</v>
      </c>
      <c r="E97">
        <v>194989</v>
      </c>
      <c r="F97" s="1">
        <v>17987</v>
      </c>
      <c r="G97">
        <v>96</v>
      </c>
      <c r="H97">
        <v>1948</v>
      </c>
      <c r="I97">
        <v>96</v>
      </c>
    </row>
    <row r="98" spans="1:9" x14ac:dyDescent="0.2">
      <c r="A98" t="s">
        <v>8</v>
      </c>
      <c r="B98" t="s">
        <v>196</v>
      </c>
      <c r="C98">
        <v>1949357</v>
      </c>
      <c r="D98" s="1">
        <v>18255</v>
      </c>
      <c r="E98">
        <v>1950101</v>
      </c>
      <c r="F98" s="1">
        <v>18364</v>
      </c>
      <c r="G98">
        <v>109</v>
      </c>
      <c r="H98">
        <v>1949</v>
      </c>
      <c r="I98">
        <v>109</v>
      </c>
    </row>
    <row r="99" spans="1:9" x14ac:dyDescent="0.2">
      <c r="A99" t="s">
        <v>8</v>
      </c>
      <c r="B99" t="s">
        <v>197</v>
      </c>
      <c r="C99">
        <v>1950345</v>
      </c>
      <c r="D99" s="1">
        <v>18608</v>
      </c>
      <c r="E99">
        <v>1951102</v>
      </c>
      <c r="F99" s="1">
        <v>18730</v>
      </c>
      <c r="G99">
        <v>122</v>
      </c>
      <c r="H99">
        <v>1950</v>
      </c>
      <c r="I99">
        <v>122</v>
      </c>
    </row>
    <row r="100" spans="1:9" x14ac:dyDescent="0.2">
      <c r="A100" t="s">
        <v>8</v>
      </c>
      <c r="B100" t="s">
        <v>198</v>
      </c>
      <c r="C100">
        <v>1951350</v>
      </c>
      <c r="D100" s="1">
        <v>18978</v>
      </c>
      <c r="E100">
        <v>195299</v>
      </c>
      <c r="F100" s="1">
        <v>19092</v>
      </c>
      <c r="G100">
        <v>114</v>
      </c>
      <c r="H100">
        <v>1951</v>
      </c>
      <c r="I100">
        <v>114</v>
      </c>
    </row>
    <row r="101" spans="1:9" x14ac:dyDescent="0.2">
      <c r="A101" t="s">
        <v>8</v>
      </c>
      <c r="B101" t="s">
        <v>199</v>
      </c>
      <c r="C101">
        <v>1952365</v>
      </c>
      <c r="D101" s="1">
        <v>19358</v>
      </c>
      <c r="E101">
        <v>195380</v>
      </c>
      <c r="F101" s="1">
        <v>19439</v>
      </c>
      <c r="G101">
        <v>81</v>
      </c>
      <c r="H101">
        <v>1952</v>
      </c>
      <c r="I101">
        <v>81</v>
      </c>
    </row>
    <row r="102" spans="1:9" x14ac:dyDescent="0.2">
      <c r="A102" t="s">
        <v>8</v>
      </c>
      <c r="B102" t="s">
        <v>200</v>
      </c>
      <c r="C102">
        <v>1953364</v>
      </c>
      <c r="D102" s="1">
        <v>19723</v>
      </c>
      <c r="E102">
        <v>195484</v>
      </c>
      <c r="F102" s="1">
        <v>19808</v>
      </c>
      <c r="G102">
        <v>85</v>
      </c>
      <c r="H102">
        <v>1953</v>
      </c>
      <c r="I102">
        <v>85</v>
      </c>
    </row>
    <row r="103" spans="1:9" x14ac:dyDescent="0.2">
      <c r="A103" t="s">
        <v>8</v>
      </c>
      <c r="B103" t="s">
        <v>201</v>
      </c>
      <c r="C103">
        <v>19552</v>
      </c>
      <c r="D103" s="1">
        <v>20091</v>
      </c>
      <c r="E103">
        <v>195594</v>
      </c>
      <c r="F103" s="1">
        <v>20183</v>
      </c>
      <c r="G103">
        <v>92</v>
      </c>
      <c r="H103">
        <v>1954</v>
      </c>
      <c r="I103">
        <v>92</v>
      </c>
    </row>
    <row r="104" spans="1:9" x14ac:dyDescent="0.2">
      <c r="A104" t="s">
        <v>8</v>
      </c>
      <c r="B104" t="s">
        <v>202</v>
      </c>
      <c r="C104">
        <v>1955346</v>
      </c>
      <c r="D104" s="1">
        <v>20435</v>
      </c>
      <c r="E104">
        <v>195695</v>
      </c>
      <c r="F104" s="1">
        <v>20549</v>
      </c>
      <c r="G104">
        <v>114</v>
      </c>
      <c r="H104">
        <v>1955</v>
      </c>
      <c r="I104">
        <v>114</v>
      </c>
    </row>
    <row r="105" spans="1:9" x14ac:dyDescent="0.2">
      <c r="A105" t="s">
        <v>8</v>
      </c>
      <c r="B105" t="s">
        <v>203</v>
      </c>
      <c r="C105">
        <v>1956349</v>
      </c>
      <c r="D105" s="1">
        <v>20803</v>
      </c>
      <c r="E105">
        <v>195794</v>
      </c>
      <c r="F105" s="1">
        <v>20914</v>
      </c>
      <c r="G105">
        <v>111</v>
      </c>
      <c r="H105">
        <v>1956</v>
      </c>
      <c r="I105">
        <v>111</v>
      </c>
    </row>
    <row r="106" spans="1:9" x14ac:dyDescent="0.2">
      <c r="A106" t="s">
        <v>8</v>
      </c>
      <c r="B106" t="s">
        <v>204</v>
      </c>
      <c r="C106">
        <v>1957364</v>
      </c>
      <c r="D106" s="1">
        <v>21184</v>
      </c>
      <c r="E106">
        <v>195894</v>
      </c>
      <c r="F106" s="1">
        <v>21279</v>
      </c>
      <c r="G106">
        <v>95</v>
      </c>
      <c r="H106">
        <v>1957</v>
      </c>
      <c r="I106">
        <v>95</v>
      </c>
    </row>
    <row r="107" spans="1:9" x14ac:dyDescent="0.2">
      <c r="A107" t="s">
        <v>8</v>
      </c>
      <c r="B107" t="s">
        <v>205</v>
      </c>
      <c r="C107">
        <v>1958343</v>
      </c>
      <c r="D107" s="1">
        <v>21528</v>
      </c>
      <c r="E107">
        <v>1959104</v>
      </c>
      <c r="F107" s="1">
        <v>21654</v>
      </c>
      <c r="G107">
        <v>126</v>
      </c>
      <c r="H107">
        <v>1958</v>
      </c>
      <c r="I107">
        <v>126</v>
      </c>
    </row>
    <row r="108" spans="1:9" x14ac:dyDescent="0.2">
      <c r="A108" t="s">
        <v>8</v>
      </c>
      <c r="B108" t="s">
        <v>206</v>
      </c>
      <c r="C108">
        <v>1959363</v>
      </c>
      <c r="D108" s="1">
        <v>21913</v>
      </c>
      <c r="E108">
        <v>1960103</v>
      </c>
      <c r="F108" s="1">
        <v>22018</v>
      </c>
      <c r="G108">
        <v>105</v>
      </c>
      <c r="H108">
        <v>1959</v>
      </c>
      <c r="I108">
        <v>105</v>
      </c>
    </row>
    <row r="109" spans="1:9" x14ac:dyDescent="0.2">
      <c r="A109" t="s">
        <v>8</v>
      </c>
      <c r="B109" t="s">
        <v>207</v>
      </c>
      <c r="C109">
        <v>1960354</v>
      </c>
      <c r="D109" s="1">
        <v>22269</v>
      </c>
      <c r="E109">
        <v>196196</v>
      </c>
      <c r="F109" s="1">
        <v>22377</v>
      </c>
      <c r="G109">
        <v>108</v>
      </c>
      <c r="H109">
        <v>1960</v>
      </c>
      <c r="I109">
        <v>108</v>
      </c>
    </row>
    <row r="110" spans="1:9" x14ac:dyDescent="0.2">
      <c r="A110" t="s">
        <v>8</v>
      </c>
      <c r="B110" t="s">
        <v>208</v>
      </c>
      <c r="C110">
        <v>1961350</v>
      </c>
      <c r="D110" s="1">
        <v>22631</v>
      </c>
      <c r="E110">
        <v>1962102</v>
      </c>
      <c r="F110" s="1">
        <v>22748</v>
      </c>
      <c r="G110">
        <v>117</v>
      </c>
      <c r="H110">
        <v>1961</v>
      </c>
      <c r="I110">
        <v>117</v>
      </c>
    </row>
    <row r="111" spans="1:9" x14ac:dyDescent="0.2">
      <c r="A111" t="s">
        <v>8</v>
      </c>
      <c r="B111" t="s">
        <v>209</v>
      </c>
      <c r="C111">
        <v>1962346</v>
      </c>
      <c r="D111" s="1">
        <v>22992</v>
      </c>
      <c r="E111">
        <v>196393</v>
      </c>
      <c r="F111" s="1">
        <v>23104</v>
      </c>
      <c r="G111">
        <v>112</v>
      </c>
      <c r="H111">
        <v>1962</v>
      </c>
      <c r="I111">
        <v>112</v>
      </c>
    </row>
    <row r="112" spans="1:9" x14ac:dyDescent="0.2">
      <c r="A112" t="s">
        <v>8</v>
      </c>
      <c r="B112" t="s">
        <v>210</v>
      </c>
      <c r="C112">
        <v>1963354</v>
      </c>
      <c r="D112" s="1">
        <v>23365</v>
      </c>
      <c r="E112">
        <v>1964102</v>
      </c>
      <c r="F112" s="1">
        <v>23478</v>
      </c>
      <c r="G112">
        <v>113</v>
      </c>
      <c r="H112">
        <v>1963</v>
      </c>
      <c r="I112">
        <v>113</v>
      </c>
    </row>
    <row r="113" spans="1:9" x14ac:dyDescent="0.2">
      <c r="A113" t="s">
        <v>8</v>
      </c>
      <c r="B113" t="s">
        <v>211</v>
      </c>
      <c r="C113">
        <v>1964350</v>
      </c>
      <c r="D113" s="1">
        <v>23726</v>
      </c>
      <c r="E113">
        <v>1965104</v>
      </c>
      <c r="F113" s="1">
        <v>23846</v>
      </c>
      <c r="G113">
        <v>120</v>
      </c>
      <c r="H113">
        <v>1964</v>
      </c>
      <c r="I113">
        <v>120</v>
      </c>
    </row>
    <row r="114" spans="1:9" x14ac:dyDescent="0.2">
      <c r="A114" t="s">
        <v>8</v>
      </c>
      <c r="B114" t="s">
        <v>212</v>
      </c>
      <c r="C114">
        <v>196611</v>
      </c>
      <c r="D114" s="1">
        <v>24118</v>
      </c>
      <c r="E114">
        <v>196676</v>
      </c>
      <c r="F114" s="1">
        <v>24183</v>
      </c>
      <c r="G114">
        <v>65</v>
      </c>
      <c r="H114">
        <v>1965</v>
      </c>
      <c r="I114">
        <v>65</v>
      </c>
    </row>
    <row r="115" spans="1:9" x14ac:dyDescent="0.2">
      <c r="A115" t="s">
        <v>8</v>
      </c>
      <c r="B115" t="s">
        <v>213</v>
      </c>
      <c r="C115">
        <v>1966360</v>
      </c>
      <c r="D115" s="1">
        <v>24467</v>
      </c>
      <c r="E115">
        <v>196793</v>
      </c>
      <c r="F115" s="1">
        <v>24565</v>
      </c>
      <c r="G115">
        <v>98</v>
      </c>
      <c r="H115">
        <v>1966</v>
      </c>
      <c r="I115">
        <v>98</v>
      </c>
    </row>
    <row r="116" spans="1:9" x14ac:dyDescent="0.2">
      <c r="A116" t="s">
        <v>8</v>
      </c>
      <c r="B116" t="s">
        <v>214</v>
      </c>
      <c r="C116">
        <v>1967361</v>
      </c>
      <c r="D116" s="1">
        <v>24833</v>
      </c>
      <c r="E116">
        <v>196887</v>
      </c>
      <c r="F116" s="1">
        <v>24924</v>
      </c>
      <c r="G116">
        <v>91</v>
      </c>
      <c r="H116">
        <v>1967</v>
      </c>
      <c r="I116">
        <v>91</v>
      </c>
    </row>
    <row r="117" spans="1:9" x14ac:dyDescent="0.2">
      <c r="A117" t="s">
        <v>8</v>
      </c>
      <c r="B117" t="s">
        <v>215</v>
      </c>
      <c r="C117">
        <v>1968352</v>
      </c>
      <c r="D117" s="1">
        <v>25189</v>
      </c>
      <c r="E117">
        <v>1969100</v>
      </c>
      <c r="F117" s="1">
        <v>25303</v>
      </c>
      <c r="G117">
        <v>108</v>
      </c>
      <c r="H117">
        <v>1968</v>
      </c>
      <c r="I117">
        <v>108</v>
      </c>
    </row>
    <row r="118" spans="1:9" x14ac:dyDescent="0.2">
      <c r="A118" t="s">
        <v>8</v>
      </c>
      <c r="B118" t="s">
        <v>216</v>
      </c>
      <c r="C118">
        <v>1969350</v>
      </c>
      <c r="D118" s="1">
        <v>25553</v>
      </c>
      <c r="E118">
        <v>197098</v>
      </c>
      <c r="F118" s="1">
        <v>25666</v>
      </c>
      <c r="G118">
        <v>113</v>
      </c>
      <c r="H118">
        <v>1969</v>
      </c>
      <c r="I118">
        <v>113</v>
      </c>
    </row>
    <row r="119" spans="1:9" x14ac:dyDescent="0.2">
      <c r="A119" t="s">
        <v>8</v>
      </c>
      <c r="B119" t="s">
        <v>217</v>
      </c>
      <c r="C119">
        <v>1970358</v>
      </c>
      <c r="D119" s="1">
        <v>25926</v>
      </c>
      <c r="E119">
        <v>1971103</v>
      </c>
      <c r="F119" s="1">
        <v>26036</v>
      </c>
      <c r="G119">
        <v>110</v>
      </c>
      <c r="H119">
        <v>1970</v>
      </c>
      <c r="I119">
        <v>110</v>
      </c>
    </row>
    <row r="120" spans="1:9" x14ac:dyDescent="0.2">
      <c r="A120" t="s">
        <v>8</v>
      </c>
      <c r="B120" t="s">
        <v>218</v>
      </c>
      <c r="C120">
        <v>19725</v>
      </c>
      <c r="D120" s="1">
        <v>26303</v>
      </c>
      <c r="E120">
        <v>1972110</v>
      </c>
      <c r="F120" s="1">
        <v>26408</v>
      </c>
      <c r="G120">
        <v>105</v>
      </c>
      <c r="H120">
        <v>1971</v>
      </c>
      <c r="I120">
        <v>105</v>
      </c>
    </row>
    <row r="121" spans="1:9" x14ac:dyDescent="0.2">
      <c r="A121" t="s">
        <v>8</v>
      </c>
      <c r="B121" t="s">
        <v>219</v>
      </c>
      <c r="C121">
        <v>1972342</v>
      </c>
      <c r="D121" s="1">
        <v>26640</v>
      </c>
      <c r="E121">
        <v>197373</v>
      </c>
      <c r="F121" s="1">
        <v>26737</v>
      </c>
      <c r="G121">
        <v>97</v>
      </c>
      <c r="H121">
        <v>1972</v>
      </c>
      <c r="I121">
        <v>97</v>
      </c>
    </row>
    <row r="122" spans="1:9" x14ac:dyDescent="0.2">
      <c r="A122" t="s">
        <v>8</v>
      </c>
      <c r="B122" t="s">
        <v>220</v>
      </c>
      <c r="C122">
        <v>1973355</v>
      </c>
      <c r="D122" s="1">
        <v>27019</v>
      </c>
      <c r="E122">
        <v>197495</v>
      </c>
      <c r="F122" s="1">
        <v>27124</v>
      </c>
      <c r="G122">
        <v>105</v>
      </c>
      <c r="H122">
        <v>1973</v>
      </c>
      <c r="I122">
        <v>105</v>
      </c>
    </row>
    <row r="123" spans="1:9" x14ac:dyDescent="0.2">
      <c r="A123" t="s">
        <v>8</v>
      </c>
      <c r="B123" t="s">
        <v>221</v>
      </c>
      <c r="C123">
        <v>19752</v>
      </c>
      <c r="D123" s="1">
        <v>27396</v>
      </c>
      <c r="E123">
        <v>1975109</v>
      </c>
      <c r="F123" s="1">
        <v>27503</v>
      </c>
      <c r="G123">
        <v>107</v>
      </c>
      <c r="H123">
        <v>1974</v>
      </c>
      <c r="I123">
        <v>107</v>
      </c>
    </row>
    <row r="124" spans="1:9" x14ac:dyDescent="0.2">
      <c r="A124" t="s">
        <v>8</v>
      </c>
      <c r="B124" t="s">
        <v>222</v>
      </c>
      <c r="C124">
        <v>1975361</v>
      </c>
      <c r="D124" s="1">
        <v>27755</v>
      </c>
      <c r="E124">
        <v>197684</v>
      </c>
      <c r="F124" s="1">
        <v>27843</v>
      </c>
      <c r="G124">
        <v>88</v>
      </c>
      <c r="H124">
        <v>1975</v>
      </c>
      <c r="I124">
        <v>88</v>
      </c>
    </row>
    <row r="125" spans="1:9" x14ac:dyDescent="0.2">
      <c r="A125" t="s">
        <v>8</v>
      </c>
      <c r="B125" t="s">
        <v>223</v>
      </c>
      <c r="C125">
        <v>1976338</v>
      </c>
      <c r="D125" s="1">
        <v>28097</v>
      </c>
      <c r="E125">
        <v>197787</v>
      </c>
      <c r="F125" s="1">
        <v>28212</v>
      </c>
      <c r="G125">
        <v>115</v>
      </c>
      <c r="H125">
        <v>1976</v>
      </c>
      <c r="I125">
        <v>115</v>
      </c>
    </row>
    <row r="126" spans="1:9" x14ac:dyDescent="0.2">
      <c r="A126" t="s">
        <v>8</v>
      </c>
      <c r="B126" t="s">
        <v>224</v>
      </c>
      <c r="C126">
        <v>1977341</v>
      </c>
      <c r="D126" s="1">
        <v>28466</v>
      </c>
      <c r="E126">
        <v>1978101</v>
      </c>
      <c r="F126" s="1">
        <v>28591</v>
      </c>
      <c r="G126">
        <v>123</v>
      </c>
      <c r="H126">
        <v>1977</v>
      </c>
      <c r="I126">
        <v>123</v>
      </c>
    </row>
    <row r="127" spans="1:9" x14ac:dyDescent="0.2">
      <c r="A127" t="s">
        <v>8</v>
      </c>
      <c r="B127" t="s">
        <v>225</v>
      </c>
      <c r="C127">
        <v>1978344</v>
      </c>
      <c r="D127" s="1">
        <v>28834</v>
      </c>
      <c r="E127">
        <v>1979109</v>
      </c>
      <c r="F127" s="1">
        <v>28964</v>
      </c>
      <c r="G127">
        <v>118</v>
      </c>
      <c r="H127">
        <v>1978</v>
      </c>
      <c r="I127">
        <v>118</v>
      </c>
    </row>
    <row r="128" spans="1:9" x14ac:dyDescent="0.2">
      <c r="A128" t="s">
        <v>8</v>
      </c>
      <c r="B128" t="s">
        <v>226</v>
      </c>
      <c r="C128">
        <v>1979363</v>
      </c>
      <c r="D128" s="1">
        <v>29218</v>
      </c>
      <c r="E128">
        <v>198097</v>
      </c>
      <c r="F128" s="1">
        <v>29317</v>
      </c>
      <c r="G128">
        <v>99</v>
      </c>
      <c r="H128">
        <v>1979</v>
      </c>
      <c r="I128">
        <v>99</v>
      </c>
    </row>
    <row r="129" spans="1:13" x14ac:dyDescent="0.2">
      <c r="A129" t="s">
        <v>8</v>
      </c>
      <c r="B129" t="s">
        <v>227</v>
      </c>
      <c r="C129">
        <v>1980355</v>
      </c>
      <c r="D129" s="1">
        <v>29575</v>
      </c>
      <c r="E129">
        <v>198182</v>
      </c>
      <c r="F129" s="1">
        <v>29668</v>
      </c>
      <c r="G129">
        <v>93</v>
      </c>
      <c r="H129">
        <v>1980</v>
      </c>
      <c r="I129">
        <v>93</v>
      </c>
    </row>
    <row r="130" spans="1:13" x14ac:dyDescent="0.2">
      <c r="A130" t="s">
        <v>8</v>
      </c>
      <c r="B130" t="s">
        <v>228</v>
      </c>
      <c r="C130">
        <v>1981362</v>
      </c>
      <c r="D130" s="1">
        <v>29948</v>
      </c>
      <c r="E130">
        <v>198293</v>
      </c>
      <c r="F130" s="1">
        <v>30044</v>
      </c>
      <c r="G130">
        <v>96</v>
      </c>
      <c r="H130">
        <v>1981</v>
      </c>
      <c r="I130">
        <v>96</v>
      </c>
    </row>
    <row r="131" spans="1:13" x14ac:dyDescent="0.2">
      <c r="A131" t="s">
        <v>8</v>
      </c>
      <c r="B131" t="s">
        <v>229</v>
      </c>
      <c r="C131">
        <v>198313</v>
      </c>
      <c r="D131" s="1">
        <v>30329</v>
      </c>
      <c r="E131">
        <v>198367</v>
      </c>
      <c r="F131" s="1">
        <v>30383</v>
      </c>
      <c r="G131">
        <v>54</v>
      </c>
      <c r="H131">
        <v>1982</v>
      </c>
      <c r="I131">
        <v>54</v>
      </c>
    </row>
    <row r="132" spans="1:13" x14ac:dyDescent="0.2">
      <c r="A132" t="s">
        <v>8</v>
      </c>
      <c r="B132" t="s">
        <v>230</v>
      </c>
      <c r="C132">
        <v>1983353</v>
      </c>
      <c r="D132" s="1">
        <v>30669</v>
      </c>
      <c r="E132">
        <v>198499</v>
      </c>
      <c r="F132" s="1">
        <v>30780</v>
      </c>
      <c r="G132">
        <v>111</v>
      </c>
      <c r="H132">
        <v>1983</v>
      </c>
      <c r="I132">
        <v>111</v>
      </c>
    </row>
    <row r="133" spans="1:13" x14ac:dyDescent="0.2">
      <c r="A133" t="s">
        <v>8</v>
      </c>
      <c r="B133" t="s">
        <v>231</v>
      </c>
      <c r="C133">
        <v>1984360</v>
      </c>
      <c r="D133" s="1">
        <v>31041</v>
      </c>
      <c r="E133">
        <v>198586</v>
      </c>
      <c r="F133" s="1">
        <v>31133</v>
      </c>
      <c r="G133">
        <v>85</v>
      </c>
      <c r="H133">
        <v>1984</v>
      </c>
      <c r="I133">
        <v>85</v>
      </c>
    </row>
    <row r="134" spans="1:13" x14ac:dyDescent="0.2">
      <c r="A134" t="s">
        <v>8</v>
      </c>
      <c r="B134" t="s">
        <v>232</v>
      </c>
      <c r="C134">
        <v>1985348</v>
      </c>
      <c r="D134" s="1">
        <v>31395</v>
      </c>
      <c r="E134">
        <v>198690</v>
      </c>
      <c r="F134" s="1">
        <v>31502</v>
      </c>
      <c r="G134">
        <v>107</v>
      </c>
      <c r="H134">
        <v>1985</v>
      </c>
      <c r="I134">
        <v>107</v>
      </c>
    </row>
    <row r="135" spans="1:13" x14ac:dyDescent="0.2">
      <c r="A135" t="s">
        <v>8</v>
      </c>
      <c r="B135" t="s">
        <v>233</v>
      </c>
      <c r="C135">
        <v>1986347</v>
      </c>
      <c r="D135" s="1">
        <v>31759</v>
      </c>
      <c r="E135">
        <v>198771</v>
      </c>
      <c r="F135" s="1">
        <v>31848</v>
      </c>
      <c r="G135">
        <v>89</v>
      </c>
      <c r="H135">
        <v>1986</v>
      </c>
      <c r="I135">
        <v>89</v>
      </c>
    </row>
    <row r="136" spans="1:13" x14ac:dyDescent="0.2">
      <c r="A136" t="s">
        <v>8</v>
      </c>
      <c r="B136" t="s">
        <v>234</v>
      </c>
      <c r="C136">
        <v>19882</v>
      </c>
      <c r="D136" s="1">
        <v>32144</v>
      </c>
      <c r="E136">
        <v>198889</v>
      </c>
      <c r="F136" s="1">
        <v>32231</v>
      </c>
      <c r="G136">
        <v>87</v>
      </c>
      <c r="H136">
        <v>1987</v>
      </c>
      <c r="I136">
        <v>87</v>
      </c>
    </row>
    <row r="137" spans="1:13" x14ac:dyDescent="0.2">
      <c r="A137" t="s">
        <v>8</v>
      </c>
      <c r="B137" t="s">
        <v>235</v>
      </c>
      <c r="C137">
        <v>1988364</v>
      </c>
      <c r="D137" s="1">
        <v>32506</v>
      </c>
      <c r="E137">
        <v>198995</v>
      </c>
      <c r="F137" s="1">
        <v>32603</v>
      </c>
      <c r="G137">
        <v>97</v>
      </c>
      <c r="H137">
        <v>1988</v>
      </c>
      <c r="I137">
        <v>97</v>
      </c>
    </row>
    <row r="138" spans="1:13" x14ac:dyDescent="0.2">
      <c r="A138" t="s">
        <v>8</v>
      </c>
      <c r="B138" t="s">
        <v>236</v>
      </c>
      <c r="C138">
        <v>1989346</v>
      </c>
      <c r="D138" s="1">
        <v>32854</v>
      </c>
      <c r="E138">
        <v>199074</v>
      </c>
      <c r="F138" s="1">
        <v>32947</v>
      </c>
      <c r="G138">
        <v>93</v>
      </c>
      <c r="H138">
        <v>1989</v>
      </c>
      <c r="I138">
        <v>93</v>
      </c>
    </row>
    <row r="139" spans="1:13" x14ac:dyDescent="0.2">
      <c r="A139" t="s">
        <v>8</v>
      </c>
      <c r="B139" t="s">
        <v>237</v>
      </c>
      <c r="C139">
        <v>1990360</v>
      </c>
      <c r="D139" s="1">
        <v>33233</v>
      </c>
      <c r="E139">
        <v>199183</v>
      </c>
      <c r="F139" s="1">
        <v>33321</v>
      </c>
      <c r="G139">
        <v>88</v>
      </c>
      <c r="H139">
        <v>1990</v>
      </c>
      <c r="I139">
        <v>88</v>
      </c>
    </row>
    <row r="140" spans="1:13" x14ac:dyDescent="0.2">
      <c r="A140" t="s">
        <v>8</v>
      </c>
      <c r="B140" t="s">
        <v>238</v>
      </c>
      <c r="C140">
        <v>1991352</v>
      </c>
      <c r="D140" s="1">
        <v>33590</v>
      </c>
      <c r="E140">
        <v>199286</v>
      </c>
      <c r="F140" s="1">
        <v>33689</v>
      </c>
      <c r="G140">
        <v>99</v>
      </c>
      <c r="H140">
        <v>1991</v>
      </c>
      <c r="I140">
        <v>99</v>
      </c>
    </row>
    <row r="141" spans="1:13" x14ac:dyDescent="0.2">
      <c r="A141" t="s">
        <v>8</v>
      </c>
      <c r="B141" t="s">
        <v>239</v>
      </c>
      <c r="C141">
        <v>1992359</v>
      </c>
      <c r="D141" s="1">
        <v>33962</v>
      </c>
      <c r="E141">
        <v>1993101</v>
      </c>
      <c r="F141" s="1">
        <v>34070</v>
      </c>
      <c r="G141">
        <v>108</v>
      </c>
      <c r="H141">
        <v>1992</v>
      </c>
      <c r="I141">
        <v>108</v>
      </c>
    </row>
    <row r="142" spans="1:13" x14ac:dyDescent="0.2">
      <c r="A142" t="s">
        <v>8</v>
      </c>
      <c r="B142" t="s">
        <v>240</v>
      </c>
      <c r="C142">
        <v>1993361</v>
      </c>
      <c r="D142" s="1">
        <v>34330</v>
      </c>
      <c r="E142">
        <v>199490</v>
      </c>
      <c r="F142" s="1">
        <v>34424</v>
      </c>
      <c r="G142">
        <v>94</v>
      </c>
      <c r="H142">
        <v>1993</v>
      </c>
      <c r="I142">
        <v>94</v>
      </c>
    </row>
    <row r="143" spans="1:13" x14ac:dyDescent="0.2">
      <c r="A143" t="s">
        <v>8</v>
      </c>
      <c r="B143" t="s">
        <v>241</v>
      </c>
      <c r="C143">
        <v>19956</v>
      </c>
      <c r="D143" s="1">
        <v>34705</v>
      </c>
      <c r="E143">
        <v>199580</v>
      </c>
      <c r="F143" s="1">
        <v>34779</v>
      </c>
      <c r="G143">
        <v>74</v>
      </c>
      <c r="H143">
        <v>1994</v>
      </c>
      <c r="I143">
        <v>74</v>
      </c>
    </row>
    <row r="144" spans="1:13" x14ac:dyDescent="0.2">
      <c r="A144" t="s">
        <v>8</v>
      </c>
      <c r="B144" t="s">
        <v>242</v>
      </c>
      <c r="C144">
        <v>1995344</v>
      </c>
      <c r="D144" s="1">
        <v>35043</v>
      </c>
      <c r="E144">
        <v>199698</v>
      </c>
      <c r="F144" s="1">
        <v>35162</v>
      </c>
      <c r="G144">
        <v>119</v>
      </c>
      <c r="H144">
        <v>1995</v>
      </c>
      <c r="I144">
        <v>119</v>
      </c>
      <c r="J144" s="1" t="str">
        <f>TEXT((F144-DATEVALUE("1/1/"&amp;TEXT(F144,"yy"))+1),"000")</f>
        <v>098</v>
      </c>
      <c r="K144">
        <f>_xlfn.NUMBERVALUE(J144)</f>
        <v>98</v>
      </c>
      <c r="L144" s="1" t="str">
        <f>TEXT((D144-DATEVALUE("1/1/"&amp;TEXT(D144,"yy"))+1),"000")</f>
        <v>344</v>
      </c>
      <c r="M144">
        <f>_xlfn.NUMBERVALUE(L144)</f>
        <v>344</v>
      </c>
    </row>
    <row r="145" spans="1:13" x14ac:dyDescent="0.2">
      <c r="A145" t="s">
        <v>8</v>
      </c>
      <c r="B145" t="s">
        <v>243</v>
      </c>
      <c r="C145">
        <v>1996355</v>
      </c>
      <c r="D145" s="1">
        <v>35419</v>
      </c>
      <c r="E145">
        <v>199791</v>
      </c>
      <c r="F145" s="1">
        <v>35521</v>
      </c>
      <c r="G145">
        <v>102</v>
      </c>
      <c r="H145">
        <v>1996</v>
      </c>
      <c r="I145">
        <v>102</v>
      </c>
      <c r="J145" s="1" t="str">
        <f t="shared" ref="J145:J164" si="0">TEXT((F145-DATEVALUE("1/1/"&amp;TEXT(F145,"yy"))+1),"000")</f>
        <v>091</v>
      </c>
      <c r="K145">
        <f t="shared" ref="K145:K164" si="1">_xlfn.NUMBERVALUE(J145)</f>
        <v>91</v>
      </c>
      <c r="L145" s="1" t="str">
        <f t="shared" ref="L145:L164" si="2">TEXT((D145-DATEVALUE("1/1/"&amp;TEXT(D145,"yy"))+1),"000")</f>
        <v>355</v>
      </c>
      <c r="M145">
        <f t="shared" ref="M145:M164" si="3">_xlfn.NUMBERVALUE(L145)</f>
        <v>355</v>
      </c>
    </row>
    <row r="146" spans="1:13" x14ac:dyDescent="0.2">
      <c r="A146" t="s">
        <v>8</v>
      </c>
      <c r="B146" t="s">
        <v>244</v>
      </c>
      <c r="C146">
        <v>199811</v>
      </c>
      <c r="D146" s="1">
        <v>35806</v>
      </c>
      <c r="E146">
        <v>199858</v>
      </c>
      <c r="F146" s="1">
        <v>35853</v>
      </c>
      <c r="G146">
        <v>47</v>
      </c>
      <c r="H146">
        <v>1997</v>
      </c>
      <c r="I146">
        <v>47</v>
      </c>
      <c r="J146" s="1" t="str">
        <f t="shared" si="0"/>
        <v>058</v>
      </c>
      <c r="K146">
        <f t="shared" si="1"/>
        <v>58</v>
      </c>
      <c r="L146" s="1" t="str">
        <f t="shared" si="2"/>
        <v>011</v>
      </c>
      <c r="M146">
        <f t="shared" si="3"/>
        <v>11</v>
      </c>
    </row>
    <row r="147" spans="1:13" x14ac:dyDescent="0.2">
      <c r="A147" t="s">
        <v>8</v>
      </c>
      <c r="B147" t="s">
        <v>245</v>
      </c>
      <c r="C147">
        <v>1998364</v>
      </c>
      <c r="D147" s="1">
        <v>36159</v>
      </c>
      <c r="E147">
        <v>199980</v>
      </c>
      <c r="F147" s="1">
        <v>36240</v>
      </c>
      <c r="G147">
        <v>81</v>
      </c>
      <c r="H147">
        <v>1998</v>
      </c>
      <c r="I147">
        <v>81</v>
      </c>
      <c r="J147" s="1" t="str">
        <f t="shared" si="0"/>
        <v>080</v>
      </c>
      <c r="K147">
        <f t="shared" si="1"/>
        <v>80</v>
      </c>
      <c r="L147" s="1" t="str">
        <f t="shared" si="2"/>
        <v>364</v>
      </c>
      <c r="M147">
        <f t="shared" si="3"/>
        <v>364</v>
      </c>
    </row>
    <row r="148" spans="1:13" x14ac:dyDescent="0.2">
      <c r="A148" t="s">
        <v>8</v>
      </c>
      <c r="B148" t="s">
        <v>246</v>
      </c>
      <c r="C148">
        <v>200014</v>
      </c>
      <c r="D148" s="1">
        <v>36539</v>
      </c>
      <c r="E148">
        <v>200067</v>
      </c>
      <c r="F148" s="1">
        <v>36592</v>
      </c>
      <c r="G148">
        <v>53</v>
      </c>
      <c r="H148">
        <v>1999</v>
      </c>
      <c r="I148">
        <v>53</v>
      </c>
      <c r="J148" s="1" t="str">
        <f t="shared" si="0"/>
        <v>067</v>
      </c>
      <c r="K148">
        <f t="shared" si="1"/>
        <v>67</v>
      </c>
      <c r="L148" s="1" t="str">
        <f t="shared" si="2"/>
        <v>014</v>
      </c>
      <c r="M148">
        <f t="shared" si="3"/>
        <v>14</v>
      </c>
    </row>
    <row r="149" spans="1:13" x14ac:dyDescent="0.2">
      <c r="A149" t="s">
        <v>8</v>
      </c>
      <c r="B149" t="s">
        <v>247</v>
      </c>
      <c r="C149">
        <v>2000348</v>
      </c>
      <c r="D149" s="1">
        <v>36873</v>
      </c>
      <c r="E149">
        <v>200197</v>
      </c>
      <c r="F149" s="1">
        <v>36988</v>
      </c>
      <c r="G149">
        <v>115</v>
      </c>
      <c r="H149">
        <v>2000</v>
      </c>
      <c r="I149">
        <v>115</v>
      </c>
      <c r="J149" s="1" t="str">
        <f t="shared" si="0"/>
        <v>097</v>
      </c>
      <c r="K149">
        <f t="shared" si="1"/>
        <v>97</v>
      </c>
      <c r="L149" s="1" t="str">
        <f t="shared" si="2"/>
        <v>348</v>
      </c>
      <c r="M149">
        <f t="shared" si="3"/>
        <v>348</v>
      </c>
    </row>
    <row r="150" spans="1:13" x14ac:dyDescent="0.2">
      <c r="A150" t="s">
        <v>8</v>
      </c>
      <c r="B150" t="s">
        <v>248</v>
      </c>
      <c r="C150">
        <v>20022</v>
      </c>
      <c r="D150" s="1">
        <v>37258</v>
      </c>
      <c r="E150">
        <v>200274</v>
      </c>
      <c r="F150" s="1">
        <v>37330</v>
      </c>
      <c r="G150">
        <v>21</v>
      </c>
      <c r="H150">
        <v>2001</v>
      </c>
      <c r="I150">
        <v>21</v>
      </c>
      <c r="J150" s="1" t="str">
        <f t="shared" si="0"/>
        <v>074</v>
      </c>
      <c r="K150">
        <f t="shared" si="1"/>
        <v>74</v>
      </c>
      <c r="L150" s="1" t="str">
        <f t="shared" si="2"/>
        <v>002</v>
      </c>
      <c r="M150">
        <f t="shared" si="3"/>
        <v>2</v>
      </c>
    </row>
    <row r="151" spans="1:13" x14ac:dyDescent="0.2">
      <c r="A151" t="s">
        <v>8</v>
      </c>
      <c r="B151" t="s">
        <v>249</v>
      </c>
      <c r="C151">
        <v>20034</v>
      </c>
      <c r="D151" s="1">
        <v>37625</v>
      </c>
      <c r="E151">
        <v>200393</v>
      </c>
      <c r="F151" s="1">
        <v>37714</v>
      </c>
      <c r="G151">
        <v>89</v>
      </c>
      <c r="H151">
        <v>2002</v>
      </c>
      <c r="I151">
        <v>89</v>
      </c>
      <c r="J151" s="1" t="str">
        <f t="shared" si="0"/>
        <v>093</v>
      </c>
      <c r="K151">
        <f t="shared" si="1"/>
        <v>93</v>
      </c>
      <c r="L151" s="1" t="str">
        <f t="shared" si="2"/>
        <v>004</v>
      </c>
      <c r="M151">
        <f t="shared" si="3"/>
        <v>4</v>
      </c>
    </row>
    <row r="152" spans="1:13" x14ac:dyDescent="0.2">
      <c r="A152" t="s">
        <v>8</v>
      </c>
      <c r="B152" t="s">
        <v>250</v>
      </c>
      <c r="C152">
        <v>20047</v>
      </c>
      <c r="D152" s="1">
        <v>37993</v>
      </c>
      <c r="E152">
        <v>200487</v>
      </c>
      <c r="F152" s="1">
        <v>38073</v>
      </c>
      <c r="G152">
        <v>80</v>
      </c>
      <c r="H152">
        <v>2003</v>
      </c>
      <c r="I152">
        <v>80</v>
      </c>
      <c r="J152" s="1" t="str">
        <f t="shared" si="0"/>
        <v>087</v>
      </c>
      <c r="K152">
        <f t="shared" si="1"/>
        <v>87</v>
      </c>
      <c r="L152" s="1" t="str">
        <f t="shared" si="2"/>
        <v>007</v>
      </c>
      <c r="M152">
        <f t="shared" si="3"/>
        <v>7</v>
      </c>
    </row>
    <row r="153" spans="1:13" x14ac:dyDescent="0.2">
      <c r="A153" t="s">
        <v>8</v>
      </c>
      <c r="B153" t="s">
        <v>251</v>
      </c>
      <c r="C153">
        <v>2004360</v>
      </c>
      <c r="D153" s="1">
        <v>38346</v>
      </c>
      <c r="E153">
        <v>200595</v>
      </c>
      <c r="F153" s="1">
        <v>38447</v>
      </c>
      <c r="G153">
        <v>101</v>
      </c>
      <c r="H153">
        <v>2004</v>
      </c>
      <c r="I153">
        <v>101</v>
      </c>
      <c r="J153" s="1" t="str">
        <f t="shared" si="0"/>
        <v>095</v>
      </c>
      <c r="K153">
        <f t="shared" si="1"/>
        <v>95</v>
      </c>
      <c r="L153" s="1" t="str">
        <f t="shared" si="2"/>
        <v>360</v>
      </c>
      <c r="M153">
        <f t="shared" si="3"/>
        <v>360</v>
      </c>
    </row>
    <row r="154" spans="1:13" x14ac:dyDescent="0.2">
      <c r="A154" t="s">
        <v>8</v>
      </c>
      <c r="B154" t="s">
        <v>252</v>
      </c>
      <c r="C154">
        <v>2005353</v>
      </c>
      <c r="D154" s="1">
        <v>38705</v>
      </c>
      <c r="E154">
        <v>200683</v>
      </c>
      <c r="F154" s="1">
        <v>38800</v>
      </c>
      <c r="G154">
        <v>95</v>
      </c>
      <c r="H154">
        <v>2005</v>
      </c>
      <c r="I154">
        <v>95</v>
      </c>
      <c r="J154" s="1" t="str">
        <f t="shared" si="0"/>
        <v>083</v>
      </c>
      <c r="K154">
        <f t="shared" si="1"/>
        <v>83</v>
      </c>
      <c r="L154" s="1" t="str">
        <f t="shared" si="2"/>
        <v>353</v>
      </c>
      <c r="M154">
        <f t="shared" si="3"/>
        <v>353</v>
      </c>
    </row>
    <row r="155" spans="1:13" x14ac:dyDescent="0.2">
      <c r="A155" t="s">
        <v>8</v>
      </c>
      <c r="B155" t="s">
        <v>253</v>
      </c>
      <c r="C155">
        <v>200720</v>
      </c>
      <c r="D155" s="1">
        <v>39102</v>
      </c>
      <c r="E155">
        <v>200786</v>
      </c>
      <c r="F155" s="1">
        <v>39168</v>
      </c>
      <c r="G155">
        <v>66</v>
      </c>
      <c r="H155">
        <v>2006</v>
      </c>
      <c r="I155">
        <v>66</v>
      </c>
      <c r="J155" s="1" t="str">
        <f t="shared" si="0"/>
        <v>086</v>
      </c>
      <c r="K155">
        <f t="shared" si="1"/>
        <v>86</v>
      </c>
      <c r="L155" s="1" t="str">
        <f t="shared" si="2"/>
        <v>020</v>
      </c>
      <c r="M155">
        <f t="shared" si="3"/>
        <v>20</v>
      </c>
    </row>
    <row r="156" spans="1:13" x14ac:dyDescent="0.2">
      <c r="A156" t="s">
        <v>8</v>
      </c>
      <c r="B156" t="s">
        <v>254</v>
      </c>
      <c r="C156">
        <v>2007360</v>
      </c>
      <c r="D156" s="1">
        <v>39442</v>
      </c>
      <c r="E156">
        <v>2008101</v>
      </c>
      <c r="F156" s="1">
        <v>39548</v>
      </c>
      <c r="G156">
        <v>106</v>
      </c>
      <c r="H156">
        <v>2007</v>
      </c>
      <c r="I156">
        <v>106</v>
      </c>
      <c r="J156" s="1" t="str">
        <f t="shared" si="0"/>
        <v>101</v>
      </c>
      <c r="K156">
        <f t="shared" si="1"/>
        <v>101</v>
      </c>
      <c r="L156" s="1" t="str">
        <f t="shared" si="2"/>
        <v>360</v>
      </c>
      <c r="M156">
        <f t="shared" si="3"/>
        <v>360</v>
      </c>
    </row>
    <row r="157" spans="1:13" x14ac:dyDescent="0.2">
      <c r="A157" t="s">
        <v>8</v>
      </c>
      <c r="B157" t="s">
        <v>255</v>
      </c>
      <c r="C157">
        <v>2008351</v>
      </c>
      <c r="D157" s="1">
        <v>39798</v>
      </c>
      <c r="E157">
        <v>200982</v>
      </c>
      <c r="F157" s="1">
        <v>39895</v>
      </c>
      <c r="G157">
        <v>97</v>
      </c>
      <c r="H157">
        <v>2008</v>
      </c>
      <c r="I157">
        <v>97</v>
      </c>
      <c r="J157" s="1" t="str">
        <f t="shared" si="0"/>
        <v>082</v>
      </c>
      <c r="K157">
        <f t="shared" si="1"/>
        <v>82</v>
      </c>
      <c r="L157" s="1" t="str">
        <f t="shared" si="2"/>
        <v>351</v>
      </c>
      <c r="M157">
        <f t="shared" si="3"/>
        <v>351</v>
      </c>
    </row>
    <row r="158" spans="1:13" x14ac:dyDescent="0.2">
      <c r="A158" t="s">
        <v>8</v>
      </c>
      <c r="B158" t="s">
        <v>256</v>
      </c>
      <c r="C158">
        <v>2009363</v>
      </c>
      <c r="D158" s="1">
        <v>40176</v>
      </c>
      <c r="E158">
        <v>201085</v>
      </c>
      <c r="F158" s="1">
        <v>40263</v>
      </c>
      <c r="G158">
        <v>87</v>
      </c>
      <c r="H158">
        <v>2009</v>
      </c>
      <c r="I158">
        <v>87</v>
      </c>
      <c r="J158" s="1" t="str">
        <f t="shared" si="0"/>
        <v>085</v>
      </c>
      <c r="K158">
        <f t="shared" si="1"/>
        <v>85</v>
      </c>
      <c r="L158" s="1" t="str">
        <f t="shared" si="2"/>
        <v>363</v>
      </c>
      <c r="M158">
        <f t="shared" si="3"/>
        <v>363</v>
      </c>
    </row>
    <row r="159" spans="1:13" x14ac:dyDescent="0.2">
      <c r="A159" t="s">
        <v>8</v>
      </c>
      <c r="B159" t="s">
        <v>257</v>
      </c>
      <c r="C159">
        <v>2010349</v>
      </c>
      <c r="D159" s="1">
        <v>40527</v>
      </c>
      <c r="E159">
        <v>201193</v>
      </c>
      <c r="F159" s="1">
        <v>40636</v>
      </c>
      <c r="G159">
        <v>110</v>
      </c>
      <c r="H159">
        <v>2010</v>
      </c>
      <c r="I159">
        <v>110</v>
      </c>
      <c r="J159" s="1" t="str">
        <f t="shared" si="0"/>
        <v>093</v>
      </c>
      <c r="K159">
        <f t="shared" si="1"/>
        <v>93</v>
      </c>
      <c r="L159" s="1" t="str">
        <f t="shared" si="2"/>
        <v>349</v>
      </c>
      <c r="M159">
        <f t="shared" si="3"/>
        <v>349</v>
      </c>
    </row>
    <row r="160" spans="1:13" x14ac:dyDescent="0.2">
      <c r="A160" t="s">
        <v>8</v>
      </c>
      <c r="B160" t="s">
        <v>258</v>
      </c>
      <c r="C160">
        <v>201214</v>
      </c>
      <c r="D160" s="1">
        <v>40922</v>
      </c>
      <c r="E160">
        <v>201271</v>
      </c>
      <c r="F160" s="1">
        <v>40979</v>
      </c>
      <c r="G160">
        <v>57</v>
      </c>
      <c r="H160">
        <v>2011</v>
      </c>
      <c r="I160">
        <v>57</v>
      </c>
      <c r="J160" s="1" t="str">
        <f t="shared" si="0"/>
        <v>071</v>
      </c>
      <c r="K160">
        <f t="shared" si="1"/>
        <v>71</v>
      </c>
      <c r="L160" s="1" t="str">
        <f t="shared" si="2"/>
        <v>014</v>
      </c>
      <c r="M160">
        <f t="shared" si="3"/>
        <v>14</v>
      </c>
    </row>
    <row r="161" spans="1:13" x14ac:dyDescent="0.2">
      <c r="A161" t="s">
        <v>8</v>
      </c>
      <c r="B161" t="s">
        <v>259</v>
      </c>
      <c r="C161">
        <v>201314</v>
      </c>
      <c r="D161" s="1">
        <v>41288</v>
      </c>
      <c r="E161">
        <v>2013101</v>
      </c>
      <c r="F161" s="1">
        <v>41375</v>
      </c>
      <c r="G161">
        <v>87</v>
      </c>
      <c r="H161">
        <v>2012</v>
      </c>
      <c r="I161">
        <v>87</v>
      </c>
      <c r="J161" s="1" t="str">
        <f t="shared" si="0"/>
        <v>101</v>
      </c>
      <c r="K161">
        <f t="shared" si="1"/>
        <v>101</v>
      </c>
      <c r="L161" s="1" t="str">
        <f t="shared" si="2"/>
        <v>014</v>
      </c>
      <c r="M161">
        <f t="shared" si="3"/>
        <v>14</v>
      </c>
    </row>
    <row r="162" spans="1:13" x14ac:dyDescent="0.2">
      <c r="A162" t="s">
        <v>8</v>
      </c>
      <c r="B162" t="s">
        <v>260</v>
      </c>
      <c r="C162">
        <v>2013350</v>
      </c>
      <c r="D162" s="1">
        <v>41624</v>
      </c>
      <c r="E162">
        <v>2014102</v>
      </c>
      <c r="F162" s="1">
        <v>41741</v>
      </c>
      <c r="G162">
        <v>117</v>
      </c>
      <c r="H162">
        <v>2013</v>
      </c>
      <c r="I162">
        <v>117</v>
      </c>
      <c r="J162" s="1" t="str">
        <f t="shared" si="0"/>
        <v>102</v>
      </c>
      <c r="K162">
        <f t="shared" si="1"/>
        <v>102</v>
      </c>
      <c r="L162" s="1" t="str">
        <f t="shared" si="2"/>
        <v>350</v>
      </c>
      <c r="M162">
        <f t="shared" si="3"/>
        <v>350</v>
      </c>
    </row>
    <row r="163" spans="1:13" x14ac:dyDescent="0.2">
      <c r="A163" t="s">
        <v>8</v>
      </c>
      <c r="B163" t="s">
        <v>261</v>
      </c>
      <c r="C163">
        <v>20152</v>
      </c>
      <c r="D163" s="1">
        <v>42006</v>
      </c>
      <c r="E163">
        <v>201593</v>
      </c>
      <c r="F163" s="1">
        <v>42097</v>
      </c>
      <c r="G163">
        <v>91</v>
      </c>
      <c r="H163">
        <v>2014</v>
      </c>
      <c r="I163">
        <v>91</v>
      </c>
      <c r="J163" s="1" t="str">
        <f t="shared" si="0"/>
        <v>093</v>
      </c>
      <c r="K163">
        <f t="shared" si="1"/>
        <v>93</v>
      </c>
      <c r="L163" s="1" t="str">
        <f t="shared" si="2"/>
        <v>002</v>
      </c>
      <c r="M163">
        <f t="shared" si="3"/>
        <v>2</v>
      </c>
    </row>
    <row r="164" spans="1:13" x14ac:dyDescent="0.2">
      <c r="A164" t="s">
        <v>8</v>
      </c>
      <c r="B164" t="s">
        <v>262</v>
      </c>
      <c r="C164">
        <v>201611</v>
      </c>
      <c r="D164" s="1">
        <v>42380</v>
      </c>
      <c r="E164">
        <v>201673</v>
      </c>
      <c r="F164" s="1">
        <v>42442</v>
      </c>
      <c r="G164">
        <v>62</v>
      </c>
      <c r="H164">
        <v>2015</v>
      </c>
      <c r="I164">
        <v>62</v>
      </c>
      <c r="J164" s="1" t="str">
        <f t="shared" si="0"/>
        <v>073</v>
      </c>
      <c r="K164">
        <f t="shared" si="1"/>
        <v>73</v>
      </c>
      <c r="L164" s="1" t="str">
        <f t="shared" si="2"/>
        <v>011</v>
      </c>
      <c r="M164">
        <f t="shared" si="3"/>
        <v>11</v>
      </c>
    </row>
    <row r="165" spans="1:13" x14ac:dyDescent="0.2">
      <c r="A165" t="s">
        <v>8</v>
      </c>
      <c r="B165" t="s">
        <v>263</v>
      </c>
      <c r="C165">
        <v>20171</v>
      </c>
      <c r="D165" s="1">
        <v>42736</v>
      </c>
      <c r="E165">
        <v>201766</v>
      </c>
      <c r="F165" s="1">
        <v>42801</v>
      </c>
      <c r="G165">
        <v>65</v>
      </c>
      <c r="H165">
        <v>2016</v>
      </c>
      <c r="I165">
        <v>65</v>
      </c>
    </row>
    <row r="166" spans="1:13" x14ac:dyDescent="0.2">
      <c r="A166" t="s">
        <v>8</v>
      </c>
      <c r="B166" t="s">
        <v>264</v>
      </c>
      <c r="C166">
        <v>2017361</v>
      </c>
      <c r="D166" s="1">
        <v>43096</v>
      </c>
      <c r="E166">
        <v>201890</v>
      </c>
      <c r="F166" s="1">
        <v>43190</v>
      </c>
      <c r="G166">
        <v>94</v>
      </c>
      <c r="H166">
        <v>2017</v>
      </c>
      <c r="I166">
        <v>94</v>
      </c>
    </row>
    <row r="167" spans="1:13" x14ac:dyDescent="0.2">
      <c r="A167" t="s">
        <v>8</v>
      </c>
      <c r="B167" t="s">
        <v>265</v>
      </c>
      <c r="C167">
        <v>2018349</v>
      </c>
      <c r="D167" s="1">
        <v>43449</v>
      </c>
      <c r="E167">
        <v>201990</v>
      </c>
      <c r="F167" s="1">
        <v>43555</v>
      </c>
      <c r="G167">
        <v>86</v>
      </c>
      <c r="H167">
        <v>2018</v>
      </c>
      <c r="I167">
        <v>86</v>
      </c>
    </row>
    <row r="168" spans="1:13" x14ac:dyDescent="0.2">
      <c r="A168" t="s">
        <v>8</v>
      </c>
      <c r="B168" t="s">
        <v>266</v>
      </c>
      <c r="C168">
        <v>202012</v>
      </c>
      <c r="D168" s="1">
        <v>43842</v>
      </c>
      <c r="E168">
        <v>202082</v>
      </c>
      <c r="F168" s="1">
        <v>43912</v>
      </c>
      <c r="G168">
        <v>70</v>
      </c>
      <c r="H168">
        <v>2019</v>
      </c>
      <c r="I168">
        <v>70</v>
      </c>
    </row>
    <row r="169" spans="1:13" x14ac:dyDescent="0.2">
      <c r="A169" t="s">
        <v>267</v>
      </c>
      <c r="B169" t="s">
        <v>268</v>
      </c>
      <c r="C169">
        <v>1851347</v>
      </c>
      <c r="D169" t="s">
        <v>269</v>
      </c>
      <c r="E169">
        <v>185285</v>
      </c>
      <c r="F169" t="s">
        <v>270</v>
      </c>
      <c r="G169">
        <v>103</v>
      </c>
      <c r="H169">
        <v>1851</v>
      </c>
      <c r="I169">
        <v>103</v>
      </c>
    </row>
    <row r="170" spans="1:13" x14ac:dyDescent="0.2">
      <c r="A170" t="s">
        <v>267</v>
      </c>
      <c r="B170" t="s">
        <v>11</v>
      </c>
      <c r="C170">
        <v>1853355</v>
      </c>
      <c r="D170" t="s">
        <v>271</v>
      </c>
      <c r="G170">
        <v>-999</v>
      </c>
      <c r="H170">
        <v>1853</v>
      </c>
      <c r="I170">
        <v>-999</v>
      </c>
    </row>
    <row r="171" spans="1:13" x14ac:dyDescent="0.2">
      <c r="A171" t="s">
        <v>267</v>
      </c>
      <c r="B171" t="s">
        <v>13</v>
      </c>
      <c r="C171">
        <v>1855352</v>
      </c>
      <c r="D171" t="s">
        <v>14</v>
      </c>
      <c r="E171">
        <v>1856105</v>
      </c>
      <c r="F171" t="s">
        <v>15</v>
      </c>
      <c r="G171">
        <v>118</v>
      </c>
      <c r="H171">
        <v>1855</v>
      </c>
      <c r="I171">
        <v>118</v>
      </c>
    </row>
    <row r="172" spans="1:13" x14ac:dyDescent="0.2">
      <c r="A172" t="s">
        <v>267</v>
      </c>
      <c r="B172" t="s">
        <v>16</v>
      </c>
      <c r="C172">
        <v>1856339</v>
      </c>
      <c r="D172" t="s">
        <v>272</v>
      </c>
      <c r="E172">
        <v>1857124</v>
      </c>
      <c r="F172" t="s">
        <v>273</v>
      </c>
      <c r="G172">
        <v>151</v>
      </c>
      <c r="H172">
        <v>1856</v>
      </c>
      <c r="I172">
        <v>151</v>
      </c>
    </row>
    <row r="173" spans="1:13" x14ac:dyDescent="0.2">
      <c r="A173" t="s">
        <v>267</v>
      </c>
      <c r="B173" t="s">
        <v>19</v>
      </c>
      <c r="C173">
        <v>1857327</v>
      </c>
      <c r="D173" t="s">
        <v>274</v>
      </c>
      <c r="E173">
        <v>185881</v>
      </c>
      <c r="F173" t="s">
        <v>275</v>
      </c>
      <c r="G173">
        <v>119</v>
      </c>
      <c r="H173">
        <v>1857</v>
      </c>
      <c r="I173">
        <v>119</v>
      </c>
    </row>
    <row r="174" spans="1:13" x14ac:dyDescent="0.2">
      <c r="A174" t="s">
        <v>267</v>
      </c>
      <c r="B174" t="s">
        <v>22</v>
      </c>
      <c r="C174">
        <v>1858345</v>
      </c>
      <c r="D174" t="s">
        <v>276</v>
      </c>
      <c r="E174">
        <v>185974</v>
      </c>
      <c r="F174" t="s">
        <v>277</v>
      </c>
      <c r="G174">
        <v>94</v>
      </c>
      <c r="H174">
        <v>1858</v>
      </c>
      <c r="I174">
        <v>94</v>
      </c>
    </row>
    <row r="175" spans="1:13" x14ac:dyDescent="0.2">
      <c r="A175" t="s">
        <v>267</v>
      </c>
      <c r="B175" t="s">
        <v>25</v>
      </c>
      <c r="C175">
        <v>1859340</v>
      </c>
      <c r="D175" t="s">
        <v>278</v>
      </c>
      <c r="E175">
        <v>186086</v>
      </c>
      <c r="F175" t="s">
        <v>27</v>
      </c>
      <c r="G175">
        <v>111</v>
      </c>
      <c r="H175">
        <v>1859</v>
      </c>
      <c r="I175">
        <v>111</v>
      </c>
    </row>
    <row r="176" spans="1:13" x14ac:dyDescent="0.2">
      <c r="A176" t="s">
        <v>267</v>
      </c>
      <c r="B176" t="s">
        <v>28</v>
      </c>
      <c r="C176">
        <v>1860337</v>
      </c>
      <c r="D176" t="s">
        <v>279</v>
      </c>
      <c r="E176">
        <v>1861100</v>
      </c>
      <c r="F176" t="s">
        <v>30</v>
      </c>
      <c r="G176">
        <v>129</v>
      </c>
      <c r="H176">
        <v>1860</v>
      </c>
      <c r="I176">
        <v>129</v>
      </c>
    </row>
    <row r="177" spans="1:9" x14ac:dyDescent="0.2">
      <c r="A177" t="s">
        <v>267</v>
      </c>
      <c r="B177" t="s">
        <v>31</v>
      </c>
      <c r="C177">
        <v>1861335</v>
      </c>
      <c r="D177" t="s">
        <v>280</v>
      </c>
      <c r="E177">
        <v>1862103</v>
      </c>
      <c r="F177" t="s">
        <v>33</v>
      </c>
      <c r="G177">
        <v>133</v>
      </c>
      <c r="H177">
        <v>1861</v>
      </c>
      <c r="I177">
        <v>133</v>
      </c>
    </row>
    <row r="178" spans="1:9" x14ac:dyDescent="0.2">
      <c r="A178" t="s">
        <v>267</v>
      </c>
      <c r="B178" t="s">
        <v>34</v>
      </c>
      <c r="C178">
        <v>1862341</v>
      </c>
      <c r="D178" t="s">
        <v>281</v>
      </c>
      <c r="E178">
        <v>186395</v>
      </c>
      <c r="F178" t="s">
        <v>282</v>
      </c>
      <c r="G178">
        <v>119</v>
      </c>
      <c r="H178">
        <v>1862</v>
      </c>
      <c r="I178">
        <v>119</v>
      </c>
    </row>
    <row r="179" spans="1:9" x14ac:dyDescent="0.2">
      <c r="A179" t="s">
        <v>267</v>
      </c>
      <c r="B179" t="s">
        <v>37</v>
      </c>
      <c r="C179">
        <v>1863345</v>
      </c>
      <c r="D179" t="s">
        <v>283</v>
      </c>
      <c r="E179">
        <v>1864111</v>
      </c>
      <c r="F179" t="s">
        <v>284</v>
      </c>
      <c r="G179">
        <v>131</v>
      </c>
      <c r="H179">
        <v>1863</v>
      </c>
      <c r="I179">
        <v>131</v>
      </c>
    </row>
    <row r="180" spans="1:9" x14ac:dyDescent="0.2">
      <c r="A180" t="s">
        <v>267</v>
      </c>
      <c r="B180" t="s">
        <v>40</v>
      </c>
      <c r="C180">
        <v>1864344</v>
      </c>
      <c r="D180" t="s">
        <v>285</v>
      </c>
      <c r="E180">
        <v>186595</v>
      </c>
      <c r="F180" t="s">
        <v>42</v>
      </c>
      <c r="G180">
        <v>117</v>
      </c>
      <c r="H180">
        <v>1864</v>
      </c>
      <c r="I180">
        <v>117</v>
      </c>
    </row>
    <row r="181" spans="1:9" x14ac:dyDescent="0.2">
      <c r="A181" t="s">
        <v>267</v>
      </c>
      <c r="B181" t="s">
        <v>43</v>
      </c>
      <c r="C181">
        <v>1865348</v>
      </c>
      <c r="D181" t="s">
        <v>44</v>
      </c>
      <c r="E181">
        <v>1866108</v>
      </c>
      <c r="F181" t="s">
        <v>45</v>
      </c>
      <c r="G181">
        <v>125</v>
      </c>
      <c r="H181">
        <v>1865</v>
      </c>
      <c r="I181">
        <v>125</v>
      </c>
    </row>
    <row r="182" spans="1:9" x14ac:dyDescent="0.2">
      <c r="A182" t="s">
        <v>267</v>
      </c>
      <c r="B182" t="s">
        <v>46</v>
      </c>
      <c r="C182">
        <v>1866346</v>
      </c>
      <c r="D182" t="s">
        <v>286</v>
      </c>
      <c r="E182">
        <v>1867109</v>
      </c>
      <c r="F182" t="s">
        <v>287</v>
      </c>
      <c r="G182">
        <v>128</v>
      </c>
      <c r="H182">
        <v>1866</v>
      </c>
      <c r="I182">
        <v>128</v>
      </c>
    </row>
    <row r="183" spans="1:9" x14ac:dyDescent="0.2">
      <c r="A183" t="s">
        <v>267</v>
      </c>
      <c r="B183" t="s">
        <v>49</v>
      </c>
      <c r="C183">
        <v>1867348</v>
      </c>
      <c r="D183" t="s">
        <v>288</v>
      </c>
      <c r="E183">
        <v>186891</v>
      </c>
      <c r="F183" t="s">
        <v>51</v>
      </c>
      <c r="G183">
        <v>108</v>
      </c>
      <c r="H183">
        <v>1867</v>
      </c>
      <c r="I183">
        <v>108</v>
      </c>
    </row>
    <row r="184" spans="1:9" x14ac:dyDescent="0.2">
      <c r="A184" t="s">
        <v>267</v>
      </c>
      <c r="B184" t="s">
        <v>52</v>
      </c>
      <c r="C184">
        <v>1868345</v>
      </c>
      <c r="D184" t="s">
        <v>53</v>
      </c>
      <c r="E184">
        <v>1869105</v>
      </c>
      <c r="F184" t="s">
        <v>289</v>
      </c>
      <c r="G184">
        <v>126</v>
      </c>
      <c r="H184">
        <v>1868</v>
      </c>
      <c r="I184">
        <v>126</v>
      </c>
    </row>
    <row r="185" spans="1:9" x14ac:dyDescent="0.2">
      <c r="A185" t="s">
        <v>267</v>
      </c>
      <c r="B185" t="s">
        <v>55</v>
      </c>
      <c r="C185">
        <v>1869328</v>
      </c>
      <c r="D185" t="s">
        <v>290</v>
      </c>
      <c r="E185">
        <v>1870101</v>
      </c>
      <c r="F185" t="s">
        <v>291</v>
      </c>
      <c r="G185">
        <v>138</v>
      </c>
      <c r="H185">
        <v>1869</v>
      </c>
      <c r="I185">
        <v>138</v>
      </c>
    </row>
    <row r="186" spans="1:9" x14ac:dyDescent="0.2">
      <c r="A186" t="s">
        <v>267</v>
      </c>
      <c r="B186" t="s">
        <v>58</v>
      </c>
      <c r="C186">
        <v>1870356</v>
      </c>
      <c r="D186" t="s">
        <v>292</v>
      </c>
      <c r="E186">
        <v>187191</v>
      </c>
      <c r="F186" t="s">
        <v>293</v>
      </c>
      <c r="G186">
        <v>100</v>
      </c>
      <c r="H186">
        <v>1870</v>
      </c>
      <c r="I186">
        <v>100</v>
      </c>
    </row>
    <row r="187" spans="1:9" x14ac:dyDescent="0.2">
      <c r="A187" t="s">
        <v>267</v>
      </c>
      <c r="B187" t="s">
        <v>61</v>
      </c>
      <c r="C187">
        <v>1871334</v>
      </c>
      <c r="D187" t="s">
        <v>294</v>
      </c>
      <c r="E187">
        <v>1872111</v>
      </c>
      <c r="F187" t="s">
        <v>295</v>
      </c>
      <c r="G187">
        <v>142</v>
      </c>
      <c r="H187">
        <v>1871</v>
      </c>
      <c r="I187">
        <v>142</v>
      </c>
    </row>
    <row r="188" spans="1:9" x14ac:dyDescent="0.2">
      <c r="A188" t="s">
        <v>267</v>
      </c>
      <c r="B188" t="s">
        <v>64</v>
      </c>
      <c r="C188">
        <v>1872333</v>
      </c>
      <c r="D188" t="s">
        <v>296</v>
      </c>
      <c r="E188">
        <v>1873108</v>
      </c>
      <c r="F188" t="s">
        <v>297</v>
      </c>
      <c r="G188">
        <v>141</v>
      </c>
      <c r="H188">
        <v>1872</v>
      </c>
      <c r="I188">
        <v>141</v>
      </c>
    </row>
    <row r="189" spans="1:9" x14ac:dyDescent="0.2">
      <c r="A189" t="s">
        <v>267</v>
      </c>
      <c r="B189" t="s">
        <v>67</v>
      </c>
      <c r="C189">
        <v>1873333</v>
      </c>
      <c r="D189" t="s">
        <v>68</v>
      </c>
      <c r="E189">
        <v>1874104</v>
      </c>
      <c r="F189" t="s">
        <v>69</v>
      </c>
      <c r="G189">
        <v>136</v>
      </c>
      <c r="H189">
        <v>1873</v>
      </c>
      <c r="I189">
        <v>136</v>
      </c>
    </row>
    <row r="190" spans="1:9" x14ac:dyDescent="0.2">
      <c r="A190" t="s">
        <v>267</v>
      </c>
      <c r="B190" t="s">
        <v>70</v>
      </c>
      <c r="C190">
        <v>1874346</v>
      </c>
      <c r="D190" t="s">
        <v>298</v>
      </c>
      <c r="E190">
        <v>1875104</v>
      </c>
      <c r="F190" t="s">
        <v>299</v>
      </c>
      <c r="G190">
        <v>123</v>
      </c>
      <c r="H190">
        <v>1874</v>
      </c>
      <c r="I190">
        <v>123</v>
      </c>
    </row>
    <row r="191" spans="1:9" x14ac:dyDescent="0.2">
      <c r="A191" t="s">
        <v>267</v>
      </c>
      <c r="B191" t="s">
        <v>73</v>
      </c>
      <c r="C191">
        <v>187610</v>
      </c>
      <c r="D191" t="s">
        <v>74</v>
      </c>
      <c r="E191">
        <v>1876101</v>
      </c>
      <c r="F191" t="s">
        <v>75</v>
      </c>
      <c r="G191">
        <v>91</v>
      </c>
      <c r="H191">
        <v>1875</v>
      </c>
      <c r="I191">
        <v>91</v>
      </c>
    </row>
    <row r="192" spans="1:9" x14ac:dyDescent="0.2">
      <c r="A192" t="s">
        <v>267</v>
      </c>
      <c r="B192" t="s">
        <v>76</v>
      </c>
      <c r="C192">
        <v>1876340</v>
      </c>
      <c r="D192" t="s">
        <v>300</v>
      </c>
      <c r="E192">
        <v>1877106</v>
      </c>
      <c r="F192" t="s">
        <v>301</v>
      </c>
      <c r="G192">
        <v>132</v>
      </c>
      <c r="H192">
        <v>1876</v>
      </c>
      <c r="I192">
        <v>132</v>
      </c>
    </row>
    <row r="193" spans="1:9" x14ac:dyDescent="0.2">
      <c r="A193" t="s">
        <v>267</v>
      </c>
      <c r="B193" t="s">
        <v>79</v>
      </c>
      <c r="C193">
        <v>18786</v>
      </c>
      <c r="D193" t="s">
        <v>80</v>
      </c>
      <c r="E193">
        <v>187868</v>
      </c>
      <c r="F193" t="s">
        <v>81</v>
      </c>
      <c r="G193">
        <v>62</v>
      </c>
      <c r="H193">
        <v>1877</v>
      </c>
      <c r="I193">
        <v>62</v>
      </c>
    </row>
    <row r="194" spans="1:9" x14ac:dyDescent="0.2">
      <c r="A194" t="s">
        <v>267</v>
      </c>
      <c r="B194" t="s">
        <v>82</v>
      </c>
      <c r="C194">
        <v>1878350</v>
      </c>
      <c r="D194" t="s">
        <v>302</v>
      </c>
      <c r="E194">
        <v>1879100</v>
      </c>
      <c r="F194" t="s">
        <v>303</v>
      </c>
      <c r="G194">
        <v>115</v>
      </c>
      <c r="H194">
        <v>1878</v>
      </c>
      <c r="I194">
        <v>115</v>
      </c>
    </row>
    <row r="195" spans="1:9" x14ac:dyDescent="0.2">
      <c r="A195" t="s">
        <v>267</v>
      </c>
      <c r="B195" t="s">
        <v>85</v>
      </c>
      <c r="C195">
        <v>1879350</v>
      </c>
      <c r="D195" t="s">
        <v>304</v>
      </c>
      <c r="E195">
        <v>188078</v>
      </c>
      <c r="F195" t="s">
        <v>305</v>
      </c>
      <c r="G195">
        <v>93</v>
      </c>
      <c r="H195">
        <v>1879</v>
      </c>
      <c r="I195">
        <v>93</v>
      </c>
    </row>
    <row r="196" spans="1:9" x14ac:dyDescent="0.2">
      <c r="A196" t="s">
        <v>267</v>
      </c>
      <c r="B196" t="s">
        <v>88</v>
      </c>
      <c r="C196">
        <v>1880327</v>
      </c>
      <c r="D196" t="s">
        <v>306</v>
      </c>
      <c r="E196">
        <v>1881121</v>
      </c>
      <c r="F196" t="s">
        <v>307</v>
      </c>
      <c r="G196">
        <v>160</v>
      </c>
      <c r="H196">
        <v>1880</v>
      </c>
      <c r="I196">
        <v>160</v>
      </c>
    </row>
    <row r="197" spans="1:9" x14ac:dyDescent="0.2">
      <c r="A197" t="s">
        <v>267</v>
      </c>
      <c r="B197" t="s">
        <v>91</v>
      </c>
      <c r="C197">
        <v>18821</v>
      </c>
      <c r="D197" t="s">
        <v>308</v>
      </c>
      <c r="E197">
        <v>188278</v>
      </c>
      <c r="F197" t="s">
        <v>309</v>
      </c>
      <c r="G197">
        <v>77</v>
      </c>
      <c r="H197">
        <v>1881</v>
      </c>
      <c r="I197">
        <v>77</v>
      </c>
    </row>
    <row r="198" spans="1:9" x14ac:dyDescent="0.2">
      <c r="A198" t="s">
        <v>267</v>
      </c>
      <c r="B198" t="s">
        <v>94</v>
      </c>
      <c r="C198">
        <v>1882341</v>
      </c>
      <c r="D198" t="s">
        <v>310</v>
      </c>
      <c r="E198">
        <v>1883103</v>
      </c>
      <c r="F198" t="s">
        <v>96</v>
      </c>
      <c r="G198">
        <v>127</v>
      </c>
      <c r="H198">
        <v>1882</v>
      </c>
      <c r="I198">
        <v>127</v>
      </c>
    </row>
    <row r="199" spans="1:9" x14ac:dyDescent="0.2">
      <c r="A199" t="s">
        <v>267</v>
      </c>
      <c r="B199" t="s">
        <v>97</v>
      </c>
      <c r="C199">
        <v>1883351</v>
      </c>
      <c r="D199" t="s">
        <v>311</v>
      </c>
      <c r="E199">
        <v>1884106</v>
      </c>
      <c r="F199" t="s">
        <v>99</v>
      </c>
      <c r="G199">
        <v>120</v>
      </c>
      <c r="H199">
        <v>1883</v>
      </c>
      <c r="I199">
        <v>120</v>
      </c>
    </row>
    <row r="200" spans="1:9" x14ac:dyDescent="0.2">
      <c r="A200" t="s">
        <v>267</v>
      </c>
      <c r="B200" t="s">
        <v>100</v>
      </c>
      <c r="C200">
        <v>1884352</v>
      </c>
      <c r="D200" t="s">
        <v>101</v>
      </c>
      <c r="E200">
        <v>1885107</v>
      </c>
      <c r="F200" t="s">
        <v>312</v>
      </c>
      <c r="G200">
        <v>121</v>
      </c>
      <c r="H200">
        <v>1884</v>
      </c>
      <c r="I200">
        <v>121</v>
      </c>
    </row>
    <row r="201" spans="1:9" x14ac:dyDescent="0.2">
      <c r="A201" t="s">
        <v>267</v>
      </c>
      <c r="B201" t="s">
        <v>103</v>
      </c>
      <c r="C201">
        <v>1885341</v>
      </c>
      <c r="D201" t="s">
        <v>313</v>
      </c>
      <c r="E201">
        <v>1886107</v>
      </c>
      <c r="F201" t="s">
        <v>314</v>
      </c>
      <c r="G201">
        <v>131</v>
      </c>
      <c r="H201">
        <v>1885</v>
      </c>
      <c r="I201">
        <v>131</v>
      </c>
    </row>
    <row r="202" spans="1:9" x14ac:dyDescent="0.2">
      <c r="A202" t="s">
        <v>267</v>
      </c>
      <c r="B202" t="s">
        <v>106</v>
      </c>
      <c r="C202">
        <v>1886339</v>
      </c>
      <c r="D202" t="s">
        <v>107</v>
      </c>
      <c r="E202">
        <v>1887105</v>
      </c>
      <c r="F202" t="s">
        <v>108</v>
      </c>
      <c r="G202">
        <v>131</v>
      </c>
      <c r="H202">
        <v>1886</v>
      </c>
      <c r="I202">
        <v>131</v>
      </c>
    </row>
    <row r="203" spans="1:9" x14ac:dyDescent="0.2">
      <c r="A203" t="s">
        <v>267</v>
      </c>
      <c r="B203" t="s">
        <v>109</v>
      </c>
      <c r="C203">
        <v>1887332</v>
      </c>
      <c r="D203" t="s">
        <v>315</v>
      </c>
      <c r="E203">
        <v>1888104</v>
      </c>
      <c r="F203" t="s">
        <v>316</v>
      </c>
      <c r="G203">
        <v>137</v>
      </c>
      <c r="H203">
        <v>1887</v>
      </c>
      <c r="I203">
        <v>137</v>
      </c>
    </row>
    <row r="204" spans="1:9" x14ac:dyDescent="0.2">
      <c r="A204" t="s">
        <v>267</v>
      </c>
      <c r="B204" t="s">
        <v>112</v>
      </c>
      <c r="C204">
        <v>1888364</v>
      </c>
      <c r="D204" t="s">
        <v>317</v>
      </c>
      <c r="E204">
        <v>188985</v>
      </c>
      <c r="F204" t="s">
        <v>318</v>
      </c>
      <c r="G204">
        <v>87</v>
      </c>
      <c r="H204">
        <v>1888</v>
      </c>
      <c r="I204">
        <v>87</v>
      </c>
    </row>
    <row r="205" spans="1:9" x14ac:dyDescent="0.2">
      <c r="A205" t="s">
        <v>267</v>
      </c>
      <c r="B205" t="s">
        <v>115</v>
      </c>
      <c r="C205">
        <v>189014</v>
      </c>
      <c r="D205" t="s">
        <v>116</v>
      </c>
      <c r="E205">
        <v>189088</v>
      </c>
      <c r="F205" t="s">
        <v>319</v>
      </c>
      <c r="G205">
        <v>74</v>
      </c>
      <c r="H205">
        <v>1889</v>
      </c>
      <c r="I205">
        <v>74</v>
      </c>
    </row>
    <row r="206" spans="1:9" x14ac:dyDescent="0.2">
      <c r="A206" t="s">
        <v>267</v>
      </c>
      <c r="B206" t="s">
        <v>118</v>
      </c>
      <c r="C206">
        <v>1890358</v>
      </c>
      <c r="D206" t="s">
        <v>320</v>
      </c>
      <c r="E206">
        <v>1891106</v>
      </c>
      <c r="F206" t="s">
        <v>120</v>
      </c>
      <c r="G206">
        <v>113</v>
      </c>
      <c r="H206">
        <v>1890</v>
      </c>
      <c r="I206">
        <v>113</v>
      </c>
    </row>
    <row r="207" spans="1:9" x14ac:dyDescent="0.2">
      <c r="A207" t="s">
        <v>267</v>
      </c>
      <c r="B207" t="s">
        <v>121</v>
      </c>
      <c r="C207">
        <v>1891361</v>
      </c>
      <c r="D207" t="s">
        <v>122</v>
      </c>
      <c r="E207">
        <v>189292</v>
      </c>
      <c r="F207" t="s">
        <v>321</v>
      </c>
      <c r="G207">
        <v>96</v>
      </c>
      <c r="H207">
        <v>1891</v>
      </c>
      <c r="I207">
        <v>96</v>
      </c>
    </row>
    <row r="208" spans="1:9" x14ac:dyDescent="0.2">
      <c r="A208" t="s">
        <v>267</v>
      </c>
      <c r="B208" t="s">
        <v>124</v>
      </c>
      <c r="C208">
        <v>1892346</v>
      </c>
      <c r="D208" t="s">
        <v>322</v>
      </c>
      <c r="E208">
        <v>189397</v>
      </c>
      <c r="F208" t="s">
        <v>126</v>
      </c>
      <c r="G208">
        <v>117</v>
      </c>
      <c r="H208">
        <v>1892</v>
      </c>
      <c r="I208">
        <v>117</v>
      </c>
    </row>
    <row r="209" spans="1:9" x14ac:dyDescent="0.2">
      <c r="A209" t="s">
        <v>267</v>
      </c>
      <c r="B209" t="s">
        <v>127</v>
      </c>
      <c r="C209">
        <v>1893336</v>
      </c>
      <c r="D209" t="s">
        <v>323</v>
      </c>
      <c r="E209">
        <v>189470</v>
      </c>
      <c r="F209" t="s">
        <v>324</v>
      </c>
      <c r="G209">
        <v>99</v>
      </c>
      <c r="H209">
        <v>1893</v>
      </c>
      <c r="I209">
        <v>99</v>
      </c>
    </row>
    <row r="210" spans="1:9" x14ac:dyDescent="0.2">
      <c r="A210" t="s">
        <v>267</v>
      </c>
      <c r="B210" t="s">
        <v>130</v>
      </c>
      <c r="C210">
        <v>1894359</v>
      </c>
      <c r="D210" t="s">
        <v>325</v>
      </c>
      <c r="E210">
        <v>189598</v>
      </c>
      <c r="F210" t="s">
        <v>132</v>
      </c>
      <c r="G210">
        <v>104</v>
      </c>
      <c r="H210">
        <v>1894</v>
      </c>
      <c r="I210">
        <v>104</v>
      </c>
    </row>
    <row r="211" spans="1:9" x14ac:dyDescent="0.2">
      <c r="A211" t="s">
        <v>267</v>
      </c>
      <c r="B211" t="s">
        <v>133</v>
      </c>
      <c r="C211">
        <v>1895338</v>
      </c>
      <c r="D211" t="s">
        <v>326</v>
      </c>
      <c r="E211">
        <v>189692</v>
      </c>
      <c r="F211" t="s">
        <v>327</v>
      </c>
      <c r="G211">
        <v>119</v>
      </c>
      <c r="H211">
        <v>1895</v>
      </c>
      <c r="I211">
        <v>119</v>
      </c>
    </row>
    <row r="212" spans="1:9" x14ac:dyDescent="0.2">
      <c r="A212" t="s">
        <v>267</v>
      </c>
      <c r="B212" t="s">
        <v>136</v>
      </c>
      <c r="C212">
        <v>1896338</v>
      </c>
      <c r="D212" t="s">
        <v>328</v>
      </c>
      <c r="E212">
        <v>189795</v>
      </c>
      <c r="F212" t="s">
        <v>329</v>
      </c>
      <c r="G212">
        <v>123</v>
      </c>
      <c r="H212">
        <v>1896</v>
      </c>
      <c r="I212">
        <v>123</v>
      </c>
    </row>
    <row r="213" spans="1:9" x14ac:dyDescent="0.2">
      <c r="A213" t="s">
        <v>267</v>
      </c>
      <c r="B213" t="s">
        <v>139</v>
      </c>
      <c r="C213">
        <v>1897349</v>
      </c>
      <c r="D213" t="s">
        <v>330</v>
      </c>
      <c r="E213">
        <v>189885</v>
      </c>
      <c r="F213" t="s">
        <v>331</v>
      </c>
      <c r="G213">
        <v>101</v>
      </c>
      <c r="H213">
        <v>1897</v>
      </c>
      <c r="I213">
        <v>101</v>
      </c>
    </row>
    <row r="214" spans="1:9" x14ac:dyDescent="0.2">
      <c r="A214" t="s">
        <v>267</v>
      </c>
      <c r="B214" t="s">
        <v>142</v>
      </c>
      <c r="C214">
        <v>1898341</v>
      </c>
      <c r="D214" t="s">
        <v>332</v>
      </c>
      <c r="E214">
        <v>1899105</v>
      </c>
      <c r="F214" t="s">
        <v>333</v>
      </c>
      <c r="G214">
        <v>129</v>
      </c>
      <c r="H214">
        <v>1898</v>
      </c>
      <c r="I214">
        <v>129</v>
      </c>
    </row>
    <row r="215" spans="1:9" x14ac:dyDescent="0.2">
      <c r="A215" t="s">
        <v>267</v>
      </c>
      <c r="B215" t="s">
        <v>145</v>
      </c>
      <c r="C215">
        <v>1899359</v>
      </c>
      <c r="D215" t="s">
        <v>334</v>
      </c>
      <c r="E215">
        <v>1900106</v>
      </c>
      <c r="F215" s="1">
        <v>107</v>
      </c>
      <c r="G215">
        <v>112</v>
      </c>
      <c r="H215">
        <v>1899</v>
      </c>
      <c r="I215">
        <v>112</v>
      </c>
    </row>
    <row r="216" spans="1:9" x14ac:dyDescent="0.2">
      <c r="A216" t="s">
        <v>267</v>
      </c>
      <c r="B216" t="s">
        <v>147</v>
      </c>
      <c r="C216">
        <v>1900348</v>
      </c>
      <c r="D216" s="1">
        <v>349</v>
      </c>
      <c r="E216">
        <v>1901101</v>
      </c>
      <c r="F216" s="1">
        <v>467</v>
      </c>
      <c r="G216">
        <v>118</v>
      </c>
      <c r="H216">
        <v>1900</v>
      </c>
      <c r="I216">
        <v>118</v>
      </c>
    </row>
    <row r="217" spans="1:9" x14ac:dyDescent="0.2">
      <c r="A217" t="s">
        <v>267</v>
      </c>
      <c r="B217" t="s">
        <v>148</v>
      </c>
      <c r="C217">
        <v>1901348</v>
      </c>
      <c r="D217" s="1">
        <v>714</v>
      </c>
      <c r="E217">
        <v>190286</v>
      </c>
      <c r="F217" s="1">
        <v>817</v>
      </c>
      <c r="G217">
        <v>103</v>
      </c>
      <c r="H217">
        <v>1901</v>
      </c>
      <c r="I217">
        <v>103</v>
      </c>
    </row>
    <row r="218" spans="1:9" x14ac:dyDescent="0.2">
      <c r="A218" t="s">
        <v>267</v>
      </c>
      <c r="B218" t="s">
        <v>149</v>
      </c>
      <c r="C218">
        <v>1902360</v>
      </c>
      <c r="D218" s="1">
        <v>1091</v>
      </c>
      <c r="E218">
        <v>190380</v>
      </c>
      <c r="F218" s="1">
        <v>1176</v>
      </c>
      <c r="G218">
        <v>85</v>
      </c>
      <c r="H218">
        <v>1902</v>
      </c>
      <c r="I218">
        <v>85</v>
      </c>
    </row>
    <row r="219" spans="1:9" x14ac:dyDescent="0.2">
      <c r="A219" t="s">
        <v>267</v>
      </c>
      <c r="B219" t="s">
        <v>150</v>
      </c>
      <c r="C219">
        <v>1903331</v>
      </c>
      <c r="D219" s="1">
        <v>1427</v>
      </c>
      <c r="E219">
        <v>1904106</v>
      </c>
      <c r="F219" s="1">
        <v>1567</v>
      </c>
      <c r="G219">
        <v>140</v>
      </c>
      <c r="H219">
        <v>1903</v>
      </c>
      <c r="I219">
        <v>140</v>
      </c>
    </row>
    <row r="220" spans="1:9" x14ac:dyDescent="0.2">
      <c r="A220" t="s">
        <v>267</v>
      </c>
      <c r="B220" t="s">
        <v>151</v>
      </c>
      <c r="C220">
        <v>1904348</v>
      </c>
      <c r="D220" s="1">
        <v>1809</v>
      </c>
      <c r="E220">
        <v>190593</v>
      </c>
      <c r="F220" s="1">
        <v>1920</v>
      </c>
      <c r="G220">
        <v>111</v>
      </c>
      <c r="H220">
        <v>1904</v>
      </c>
      <c r="I220">
        <v>111</v>
      </c>
    </row>
    <row r="221" spans="1:9" x14ac:dyDescent="0.2">
      <c r="A221" t="s">
        <v>267</v>
      </c>
      <c r="B221" t="s">
        <v>152</v>
      </c>
      <c r="C221">
        <v>1905348</v>
      </c>
      <c r="D221" s="1">
        <v>2175</v>
      </c>
      <c r="E221">
        <v>190698</v>
      </c>
      <c r="F221" s="1">
        <v>2290</v>
      </c>
      <c r="G221">
        <v>115</v>
      </c>
      <c r="H221">
        <v>1905</v>
      </c>
      <c r="I221">
        <v>115</v>
      </c>
    </row>
    <row r="222" spans="1:9" x14ac:dyDescent="0.2">
      <c r="A222" t="s">
        <v>267</v>
      </c>
      <c r="B222" t="s">
        <v>153</v>
      </c>
      <c r="C222">
        <v>1906342</v>
      </c>
      <c r="D222" s="1">
        <v>2534</v>
      </c>
      <c r="E222">
        <v>190783</v>
      </c>
      <c r="F222" s="1">
        <v>2640</v>
      </c>
      <c r="G222">
        <v>106</v>
      </c>
      <c r="H222">
        <v>1906</v>
      </c>
      <c r="I222">
        <v>106</v>
      </c>
    </row>
    <row r="223" spans="1:9" x14ac:dyDescent="0.2">
      <c r="A223" t="s">
        <v>267</v>
      </c>
      <c r="B223" t="s">
        <v>154</v>
      </c>
      <c r="C223">
        <v>1907345</v>
      </c>
      <c r="D223" s="1">
        <v>2902</v>
      </c>
      <c r="E223">
        <v>190886</v>
      </c>
      <c r="F223" s="1">
        <v>3008</v>
      </c>
      <c r="G223">
        <v>106</v>
      </c>
      <c r="H223">
        <v>1907</v>
      </c>
      <c r="I223">
        <v>106</v>
      </c>
    </row>
    <row r="224" spans="1:9" x14ac:dyDescent="0.2">
      <c r="A224" t="s">
        <v>267</v>
      </c>
      <c r="B224" t="s">
        <v>155</v>
      </c>
      <c r="C224">
        <v>1908344</v>
      </c>
      <c r="D224" s="1">
        <v>3266</v>
      </c>
      <c r="E224">
        <v>190996</v>
      </c>
      <c r="F224" s="1">
        <v>3384</v>
      </c>
      <c r="G224">
        <v>118</v>
      </c>
      <c r="H224">
        <v>1908</v>
      </c>
      <c r="I224">
        <v>118</v>
      </c>
    </row>
    <row r="225" spans="1:9" x14ac:dyDescent="0.2">
      <c r="A225" t="s">
        <v>267</v>
      </c>
      <c r="B225" t="s">
        <v>156</v>
      </c>
      <c r="C225">
        <v>1909352</v>
      </c>
      <c r="D225" s="1">
        <v>3640</v>
      </c>
      <c r="E225">
        <v>191083</v>
      </c>
      <c r="F225" s="1">
        <v>3736</v>
      </c>
      <c r="G225">
        <v>96</v>
      </c>
      <c r="H225">
        <v>1909</v>
      </c>
      <c r="I225">
        <v>96</v>
      </c>
    </row>
    <row r="226" spans="1:9" x14ac:dyDescent="0.2">
      <c r="A226" t="s">
        <v>267</v>
      </c>
      <c r="B226" t="s">
        <v>157</v>
      </c>
      <c r="C226">
        <v>1910342</v>
      </c>
      <c r="D226" s="1">
        <v>3995</v>
      </c>
      <c r="E226">
        <v>191180</v>
      </c>
      <c r="F226" s="1">
        <v>4098</v>
      </c>
      <c r="G226">
        <v>103</v>
      </c>
      <c r="H226">
        <v>1910</v>
      </c>
      <c r="I226">
        <v>103</v>
      </c>
    </row>
    <row r="227" spans="1:9" x14ac:dyDescent="0.2">
      <c r="A227" t="s">
        <v>267</v>
      </c>
      <c r="B227" t="s">
        <v>158</v>
      </c>
      <c r="C227">
        <v>1911352</v>
      </c>
      <c r="D227" s="1">
        <v>4370</v>
      </c>
      <c r="E227">
        <v>1912100</v>
      </c>
      <c r="F227" s="1">
        <v>4483</v>
      </c>
      <c r="G227">
        <v>113</v>
      </c>
      <c r="H227">
        <v>1911</v>
      </c>
      <c r="I227">
        <v>113</v>
      </c>
    </row>
    <row r="228" spans="1:9" x14ac:dyDescent="0.2">
      <c r="A228" t="s">
        <v>267</v>
      </c>
      <c r="B228" t="s">
        <v>159</v>
      </c>
      <c r="C228">
        <v>1912354</v>
      </c>
      <c r="D228" s="1">
        <v>4737</v>
      </c>
      <c r="E228">
        <v>191392</v>
      </c>
      <c r="F228" s="1">
        <v>4841</v>
      </c>
      <c r="G228">
        <v>104</v>
      </c>
      <c r="H228">
        <v>1912</v>
      </c>
      <c r="I228">
        <v>104</v>
      </c>
    </row>
    <row r="229" spans="1:9" x14ac:dyDescent="0.2">
      <c r="A229" t="s">
        <v>267</v>
      </c>
      <c r="B229" t="s">
        <v>160</v>
      </c>
      <c r="C229">
        <v>1913361</v>
      </c>
      <c r="D229" s="1">
        <v>5110</v>
      </c>
      <c r="E229">
        <v>191479</v>
      </c>
      <c r="F229" s="1">
        <v>5193</v>
      </c>
      <c r="G229">
        <v>83</v>
      </c>
      <c r="H229">
        <v>1913</v>
      </c>
      <c r="I229">
        <v>83</v>
      </c>
    </row>
    <row r="230" spans="1:9" x14ac:dyDescent="0.2">
      <c r="A230" t="s">
        <v>267</v>
      </c>
      <c r="B230" t="s">
        <v>161</v>
      </c>
      <c r="C230">
        <v>1914349</v>
      </c>
      <c r="D230" s="1">
        <v>5463</v>
      </c>
      <c r="E230">
        <v>191599</v>
      </c>
      <c r="F230" s="1">
        <v>5578</v>
      </c>
      <c r="G230">
        <v>115</v>
      </c>
      <c r="H230">
        <v>1914</v>
      </c>
      <c r="I230">
        <v>115</v>
      </c>
    </row>
    <row r="231" spans="1:9" x14ac:dyDescent="0.2">
      <c r="A231" t="s">
        <v>267</v>
      </c>
      <c r="B231" t="s">
        <v>162</v>
      </c>
      <c r="C231">
        <v>1915349</v>
      </c>
      <c r="D231" s="1">
        <v>5828</v>
      </c>
      <c r="E231">
        <v>191695</v>
      </c>
      <c r="F231" s="1">
        <v>5939</v>
      </c>
      <c r="G231">
        <v>111</v>
      </c>
      <c r="H231">
        <v>1915</v>
      </c>
      <c r="I231">
        <v>111</v>
      </c>
    </row>
    <row r="232" spans="1:9" x14ac:dyDescent="0.2">
      <c r="A232" t="s">
        <v>267</v>
      </c>
      <c r="B232" t="s">
        <v>163</v>
      </c>
      <c r="C232">
        <v>1916351</v>
      </c>
      <c r="D232" s="1">
        <v>6195</v>
      </c>
      <c r="E232">
        <v>1917101</v>
      </c>
      <c r="F232" s="1">
        <v>6311</v>
      </c>
      <c r="G232">
        <v>116</v>
      </c>
      <c r="H232">
        <v>1916</v>
      </c>
      <c r="I232">
        <v>116</v>
      </c>
    </row>
    <row r="233" spans="1:9" x14ac:dyDescent="0.2">
      <c r="A233" t="s">
        <v>267</v>
      </c>
      <c r="B233" t="s">
        <v>164</v>
      </c>
      <c r="C233">
        <v>1917342</v>
      </c>
      <c r="D233" s="1">
        <v>6552</v>
      </c>
      <c r="E233">
        <v>191893</v>
      </c>
      <c r="F233" s="1">
        <v>6668</v>
      </c>
      <c r="G233">
        <v>116</v>
      </c>
      <c r="H233">
        <v>1917</v>
      </c>
      <c r="I233">
        <v>116</v>
      </c>
    </row>
    <row r="234" spans="1:9" x14ac:dyDescent="0.2">
      <c r="A234" t="s">
        <v>267</v>
      </c>
      <c r="B234" t="s">
        <v>165</v>
      </c>
      <c r="C234">
        <v>1918361</v>
      </c>
      <c r="D234" s="1">
        <v>6936</v>
      </c>
      <c r="E234">
        <v>191979</v>
      </c>
      <c r="F234" s="1">
        <v>7019</v>
      </c>
      <c r="G234">
        <v>83</v>
      </c>
      <c r="H234">
        <v>1918</v>
      </c>
      <c r="I234">
        <v>83</v>
      </c>
    </row>
    <row r="235" spans="1:9" x14ac:dyDescent="0.2">
      <c r="A235" t="s">
        <v>267</v>
      </c>
      <c r="B235" t="s">
        <v>166</v>
      </c>
      <c r="C235">
        <v>1919337</v>
      </c>
      <c r="D235" s="1">
        <v>7277</v>
      </c>
      <c r="E235">
        <v>192088</v>
      </c>
      <c r="F235" s="1">
        <v>7393</v>
      </c>
      <c r="G235">
        <v>116</v>
      </c>
      <c r="H235">
        <v>1919</v>
      </c>
      <c r="I235">
        <v>116</v>
      </c>
    </row>
    <row r="236" spans="1:9" x14ac:dyDescent="0.2">
      <c r="A236" t="s">
        <v>267</v>
      </c>
      <c r="B236" t="s">
        <v>167</v>
      </c>
      <c r="C236">
        <v>1920356</v>
      </c>
      <c r="D236" s="1">
        <v>7661</v>
      </c>
      <c r="E236">
        <v>192175</v>
      </c>
      <c r="F236" s="1">
        <v>7746</v>
      </c>
      <c r="G236">
        <v>85</v>
      </c>
      <c r="H236">
        <v>1920</v>
      </c>
      <c r="I236">
        <v>85</v>
      </c>
    </row>
    <row r="237" spans="1:9" x14ac:dyDescent="0.2">
      <c r="A237" t="s">
        <v>267</v>
      </c>
      <c r="B237" t="s">
        <v>168</v>
      </c>
      <c r="C237">
        <v>1921353</v>
      </c>
      <c r="D237" s="1">
        <v>8024</v>
      </c>
      <c r="E237">
        <v>192284</v>
      </c>
      <c r="F237" s="1">
        <v>8120</v>
      </c>
      <c r="G237">
        <v>96</v>
      </c>
      <c r="H237">
        <v>1921</v>
      </c>
      <c r="I237">
        <v>96</v>
      </c>
    </row>
    <row r="238" spans="1:9" x14ac:dyDescent="0.2">
      <c r="A238" t="s">
        <v>267</v>
      </c>
      <c r="B238" t="s">
        <v>169</v>
      </c>
      <c r="C238">
        <v>1922347</v>
      </c>
      <c r="D238" s="1">
        <v>8383</v>
      </c>
      <c r="E238">
        <v>1923109</v>
      </c>
      <c r="F238" s="1">
        <v>8510</v>
      </c>
      <c r="G238">
        <v>127</v>
      </c>
      <c r="H238">
        <v>1922</v>
      </c>
      <c r="I238">
        <v>127</v>
      </c>
    </row>
    <row r="239" spans="1:9" x14ac:dyDescent="0.2">
      <c r="A239" t="s">
        <v>267</v>
      </c>
      <c r="B239" t="s">
        <v>170</v>
      </c>
      <c r="C239">
        <v>19241</v>
      </c>
      <c r="D239" s="1">
        <v>8767</v>
      </c>
      <c r="E239">
        <v>1924104</v>
      </c>
      <c r="F239" s="1">
        <v>8870</v>
      </c>
      <c r="G239">
        <v>103</v>
      </c>
      <c r="H239">
        <v>1923</v>
      </c>
      <c r="I239">
        <v>103</v>
      </c>
    </row>
    <row r="240" spans="1:9" x14ac:dyDescent="0.2">
      <c r="A240" t="s">
        <v>267</v>
      </c>
      <c r="B240" t="s">
        <v>171</v>
      </c>
      <c r="C240">
        <v>1924349</v>
      </c>
      <c r="D240" s="1">
        <v>9115</v>
      </c>
      <c r="E240">
        <v>192586</v>
      </c>
      <c r="F240" s="1">
        <v>9218</v>
      </c>
      <c r="G240">
        <v>103</v>
      </c>
      <c r="H240">
        <v>1924</v>
      </c>
      <c r="I240">
        <v>103</v>
      </c>
    </row>
    <row r="241" spans="1:9" x14ac:dyDescent="0.2">
      <c r="A241" t="s">
        <v>267</v>
      </c>
      <c r="B241" t="s">
        <v>172</v>
      </c>
      <c r="C241">
        <v>1925344</v>
      </c>
      <c r="D241" s="1">
        <v>9476</v>
      </c>
      <c r="E241">
        <v>1926105</v>
      </c>
      <c r="F241" s="1">
        <v>9602</v>
      </c>
      <c r="G241">
        <v>126</v>
      </c>
      <c r="H241">
        <v>1925</v>
      </c>
      <c r="I241">
        <v>126</v>
      </c>
    </row>
    <row r="242" spans="1:9" x14ac:dyDescent="0.2">
      <c r="A242" t="s">
        <v>267</v>
      </c>
      <c r="B242" t="s">
        <v>173</v>
      </c>
      <c r="C242">
        <v>1926339</v>
      </c>
      <c r="D242" s="1">
        <v>9836</v>
      </c>
      <c r="E242">
        <v>192776</v>
      </c>
      <c r="F242" s="1">
        <v>9938</v>
      </c>
      <c r="G242">
        <v>102</v>
      </c>
      <c r="H242">
        <v>1926</v>
      </c>
      <c r="I242">
        <v>102</v>
      </c>
    </row>
    <row r="243" spans="1:9" x14ac:dyDescent="0.2">
      <c r="A243" t="s">
        <v>267</v>
      </c>
      <c r="B243" t="s">
        <v>174</v>
      </c>
      <c r="C243">
        <v>1927343</v>
      </c>
      <c r="D243" s="1">
        <v>10205</v>
      </c>
      <c r="E243">
        <v>192886</v>
      </c>
      <c r="F243" s="1">
        <v>10313</v>
      </c>
      <c r="G243">
        <v>108</v>
      </c>
      <c r="H243">
        <v>1927</v>
      </c>
      <c r="I243">
        <v>108</v>
      </c>
    </row>
    <row r="244" spans="1:9" x14ac:dyDescent="0.2">
      <c r="A244" t="s">
        <v>267</v>
      </c>
      <c r="B244" t="s">
        <v>175</v>
      </c>
      <c r="C244">
        <v>1928356</v>
      </c>
      <c r="D244" s="1">
        <v>10583</v>
      </c>
      <c r="E244">
        <v>192986</v>
      </c>
      <c r="F244" s="1">
        <v>10679</v>
      </c>
      <c r="G244">
        <v>96</v>
      </c>
      <c r="H244">
        <v>1928</v>
      </c>
      <c r="I244">
        <v>96</v>
      </c>
    </row>
    <row r="245" spans="1:9" x14ac:dyDescent="0.2">
      <c r="A245" t="s">
        <v>267</v>
      </c>
      <c r="B245" t="s">
        <v>176</v>
      </c>
      <c r="C245">
        <v>1929337</v>
      </c>
      <c r="D245" s="1">
        <v>10930</v>
      </c>
      <c r="E245">
        <v>193076</v>
      </c>
      <c r="F245" s="1">
        <v>11034</v>
      </c>
      <c r="G245">
        <v>104</v>
      </c>
      <c r="H245">
        <v>1929</v>
      </c>
      <c r="I245">
        <v>104</v>
      </c>
    </row>
    <row r="246" spans="1:9" x14ac:dyDescent="0.2">
      <c r="A246" t="s">
        <v>267</v>
      </c>
      <c r="B246" t="s">
        <v>177</v>
      </c>
      <c r="C246">
        <v>1930350</v>
      </c>
      <c r="D246" s="1">
        <v>11308</v>
      </c>
      <c r="E246">
        <v>193183</v>
      </c>
      <c r="F246" s="1">
        <v>11406</v>
      </c>
      <c r="G246">
        <v>98</v>
      </c>
      <c r="H246">
        <v>1930</v>
      </c>
      <c r="I246">
        <v>98</v>
      </c>
    </row>
    <row r="247" spans="1:9" x14ac:dyDescent="0.2">
      <c r="A247" t="s">
        <v>267</v>
      </c>
      <c r="B247" t="s">
        <v>178</v>
      </c>
      <c r="C247">
        <v>193230</v>
      </c>
      <c r="D247" s="1">
        <v>11718</v>
      </c>
      <c r="E247">
        <v>193290</v>
      </c>
      <c r="F247" s="1">
        <v>11778</v>
      </c>
      <c r="G247">
        <v>60</v>
      </c>
      <c r="H247">
        <v>1931</v>
      </c>
      <c r="I247">
        <v>60</v>
      </c>
    </row>
    <row r="248" spans="1:9" x14ac:dyDescent="0.2">
      <c r="A248" t="s">
        <v>267</v>
      </c>
      <c r="B248" t="s">
        <v>179</v>
      </c>
      <c r="C248">
        <v>1932345</v>
      </c>
      <c r="D248" s="1">
        <v>12033</v>
      </c>
      <c r="E248">
        <v>193386</v>
      </c>
      <c r="F248" s="1">
        <v>12140</v>
      </c>
      <c r="G248">
        <v>107</v>
      </c>
      <c r="H248">
        <v>1932</v>
      </c>
      <c r="I248">
        <v>107</v>
      </c>
    </row>
    <row r="249" spans="1:9" x14ac:dyDescent="0.2">
      <c r="A249" t="s">
        <v>267</v>
      </c>
      <c r="B249" t="s">
        <v>180</v>
      </c>
      <c r="C249">
        <v>1933347</v>
      </c>
      <c r="D249" s="1">
        <v>12401</v>
      </c>
      <c r="E249">
        <v>193485</v>
      </c>
      <c r="F249" s="1">
        <v>12504</v>
      </c>
      <c r="G249">
        <v>103</v>
      </c>
      <c r="H249">
        <v>1933</v>
      </c>
      <c r="I249">
        <v>103</v>
      </c>
    </row>
    <row r="250" spans="1:9" x14ac:dyDescent="0.2">
      <c r="A250" t="s">
        <v>267</v>
      </c>
      <c r="B250" t="s">
        <v>181</v>
      </c>
      <c r="C250">
        <v>1934354</v>
      </c>
      <c r="D250" s="1">
        <v>12773</v>
      </c>
      <c r="E250">
        <v>193587</v>
      </c>
      <c r="F250" s="1">
        <v>12871</v>
      </c>
      <c r="G250">
        <v>98</v>
      </c>
      <c r="H250">
        <v>1934</v>
      </c>
      <c r="I250">
        <v>98</v>
      </c>
    </row>
    <row r="251" spans="1:9" x14ac:dyDescent="0.2">
      <c r="A251" t="s">
        <v>267</v>
      </c>
      <c r="B251" t="s">
        <v>182</v>
      </c>
      <c r="C251">
        <v>1935345</v>
      </c>
      <c r="D251" s="1">
        <v>13129</v>
      </c>
      <c r="E251">
        <v>193687</v>
      </c>
      <c r="F251" s="1">
        <v>13236</v>
      </c>
      <c r="G251">
        <v>107</v>
      </c>
      <c r="H251">
        <v>1935</v>
      </c>
      <c r="I251">
        <v>107</v>
      </c>
    </row>
    <row r="252" spans="1:9" x14ac:dyDescent="0.2">
      <c r="A252" t="s">
        <v>267</v>
      </c>
      <c r="B252" t="s">
        <v>183</v>
      </c>
      <c r="C252">
        <v>1936339</v>
      </c>
      <c r="D252" s="1">
        <v>13488</v>
      </c>
      <c r="E252">
        <v>1937102</v>
      </c>
      <c r="F252" s="1">
        <v>13617</v>
      </c>
      <c r="G252">
        <v>123</v>
      </c>
      <c r="H252">
        <v>1936</v>
      </c>
      <c r="I252">
        <v>123</v>
      </c>
    </row>
    <row r="253" spans="1:9" x14ac:dyDescent="0.2">
      <c r="A253" t="s">
        <v>267</v>
      </c>
      <c r="B253" t="s">
        <v>184</v>
      </c>
      <c r="C253">
        <v>1937335</v>
      </c>
      <c r="D253" s="1">
        <v>13850</v>
      </c>
      <c r="E253">
        <v>193881</v>
      </c>
      <c r="F253" s="1">
        <v>13961</v>
      </c>
      <c r="G253">
        <v>111</v>
      </c>
      <c r="H253">
        <v>1937</v>
      </c>
      <c r="I253">
        <v>111</v>
      </c>
    </row>
    <row r="254" spans="1:9" x14ac:dyDescent="0.2">
      <c r="A254" t="s">
        <v>267</v>
      </c>
      <c r="B254" t="s">
        <v>185</v>
      </c>
      <c r="C254">
        <v>1938353</v>
      </c>
      <c r="D254" s="1">
        <v>14233</v>
      </c>
      <c r="E254">
        <v>193990</v>
      </c>
      <c r="F254" s="1">
        <v>14335</v>
      </c>
      <c r="G254">
        <v>102</v>
      </c>
      <c r="H254">
        <v>1938</v>
      </c>
      <c r="I254">
        <v>102</v>
      </c>
    </row>
    <row r="255" spans="1:9" x14ac:dyDescent="0.2">
      <c r="A255" t="s">
        <v>267</v>
      </c>
      <c r="B255" t="s">
        <v>186</v>
      </c>
      <c r="C255">
        <v>1939365</v>
      </c>
      <c r="D255" s="1">
        <v>14610</v>
      </c>
      <c r="E255">
        <v>1940102</v>
      </c>
      <c r="F255" s="1">
        <v>14712</v>
      </c>
      <c r="G255">
        <v>102</v>
      </c>
      <c r="H255">
        <v>1939</v>
      </c>
      <c r="I255">
        <v>102</v>
      </c>
    </row>
    <row r="256" spans="1:9" x14ac:dyDescent="0.2">
      <c r="A256" t="s">
        <v>267</v>
      </c>
      <c r="B256" t="s">
        <v>187</v>
      </c>
      <c r="C256">
        <v>1940338</v>
      </c>
      <c r="D256" s="1">
        <v>14948</v>
      </c>
      <c r="E256">
        <v>194199</v>
      </c>
      <c r="F256" s="1">
        <v>15075</v>
      </c>
      <c r="G256">
        <v>127</v>
      </c>
      <c r="H256">
        <v>1940</v>
      </c>
      <c r="I256">
        <v>127</v>
      </c>
    </row>
    <row r="257" spans="1:9" x14ac:dyDescent="0.2">
      <c r="A257" t="s">
        <v>267</v>
      </c>
      <c r="B257" t="s">
        <v>188</v>
      </c>
      <c r="C257">
        <v>1941363</v>
      </c>
      <c r="D257" s="1">
        <v>15339</v>
      </c>
      <c r="E257">
        <v>194283</v>
      </c>
      <c r="F257" s="1">
        <v>15424</v>
      </c>
      <c r="G257">
        <v>85</v>
      </c>
      <c r="H257">
        <v>1941</v>
      </c>
      <c r="I257">
        <v>85</v>
      </c>
    </row>
    <row r="258" spans="1:9" x14ac:dyDescent="0.2">
      <c r="A258" t="s">
        <v>267</v>
      </c>
      <c r="B258" t="s">
        <v>189</v>
      </c>
      <c r="C258">
        <v>1942341</v>
      </c>
      <c r="D258" s="1">
        <v>15682</v>
      </c>
      <c r="E258">
        <v>194390</v>
      </c>
      <c r="F258" s="1">
        <v>15796</v>
      </c>
      <c r="G258">
        <v>114</v>
      </c>
      <c r="H258">
        <v>1942</v>
      </c>
      <c r="I258">
        <v>114</v>
      </c>
    </row>
    <row r="259" spans="1:9" x14ac:dyDescent="0.2">
      <c r="A259" t="s">
        <v>267</v>
      </c>
      <c r="B259" t="s">
        <v>190</v>
      </c>
      <c r="C259">
        <v>1943348</v>
      </c>
      <c r="D259" s="1">
        <v>16054</v>
      </c>
      <c r="E259">
        <v>194484</v>
      </c>
      <c r="F259" s="1">
        <v>16155</v>
      </c>
      <c r="G259">
        <v>101</v>
      </c>
      <c r="H259">
        <v>1943</v>
      </c>
      <c r="I259">
        <v>101</v>
      </c>
    </row>
    <row r="260" spans="1:9" x14ac:dyDescent="0.2">
      <c r="A260" t="s">
        <v>267</v>
      </c>
      <c r="B260" t="s">
        <v>191</v>
      </c>
      <c r="C260">
        <v>1944353</v>
      </c>
      <c r="D260" s="1">
        <v>16424</v>
      </c>
      <c r="E260">
        <v>194576</v>
      </c>
      <c r="F260" s="1">
        <v>16513</v>
      </c>
      <c r="G260">
        <v>89</v>
      </c>
      <c r="H260">
        <v>1944</v>
      </c>
      <c r="I260">
        <v>89</v>
      </c>
    </row>
    <row r="261" spans="1:9" x14ac:dyDescent="0.2">
      <c r="A261" t="s">
        <v>267</v>
      </c>
      <c r="B261" t="s">
        <v>192</v>
      </c>
      <c r="C261">
        <v>1945346</v>
      </c>
      <c r="D261" s="1">
        <v>16783</v>
      </c>
      <c r="E261">
        <v>194680</v>
      </c>
      <c r="F261" s="1">
        <v>16882</v>
      </c>
      <c r="G261">
        <v>99</v>
      </c>
      <c r="H261">
        <v>1945</v>
      </c>
      <c r="I261">
        <v>99</v>
      </c>
    </row>
    <row r="262" spans="1:9" x14ac:dyDescent="0.2">
      <c r="A262" t="s">
        <v>267</v>
      </c>
      <c r="B262" t="s">
        <v>193</v>
      </c>
      <c r="C262">
        <v>1946352</v>
      </c>
      <c r="D262" s="1">
        <v>17154</v>
      </c>
      <c r="E262">
        <v>194795</v>
      </c>
      <c r="F262" s="1">
        <v>17262</v>
      </c>
      <c r="G262">
        <v>108</v>
      </c>
      <c r="H262">
        <v>1946</v>
      </c>
      <c r="I262">
        <v>108</v>
      </c>
    </row>
    <row r="263" spans="1:9" x14ac:dyDescent="0.2">
      <c r="A263" t="s">
        <v>267</v>
      </c>
      <c r="B263" t="s">
        <v>194</v>
      </c>
      <c r="C263">
        <v>1947343</v>
      </c>
      <c r="D263" s="1">
        <v>17510</v>
      </c>
      <c r="E263">
        <v>194886</v>
      </c>
      <c r="F263" s="1">
        <v>17618</v>
      </c>
      <c r="G263">
        <v>108</v>
      </c>
      <c r="H263">
        <v>1947</v>
      </c>
      <c r="I263">
        <v>108</v>
      </c>
    </row>
    <row r="264" spans="1:9" x14ac:dyDescent="0.2">
      <c r="A264" t="s">
        <v>267</v>
      </c>
      <c r="B264" t="s">
        <v>195</v>
      </c>
      <c r="C264">
        <v>1948359</v>
      </c>
      <c r="D264" s="1">
        <v>17891</v>
      </c>
      <c r="E264">
        <v>194985</v>
      </c>
      <c r="F264" s="1">
        <v>17983</v>
      </c>
      <c r="G264">
        <v>92</v>
      </c>
      <c r="H264">
        <v>1948</v>
      </c>
      <c r="I264">
        <v>92</v>
      </c>
    </row>
    <row r="265" spans="1:9" x14ac:dyDescent="0.2">
      <c r="A265" t="s">
        <v>267</v>
      </c>
      <c r="B265" t="s">
        <v>196</v>
      </c>
      <c r="C265">
        <v>1949349</v>
      </c>
      <c r="D265" s="1">
        <v>18247</v>
      </c>
      <c r="E265">
        <v>195097</v>
      </c>
      <c r="F265" s="1">
        <v>18360</v>
      </c>
      <c r="G265">
        <v>113</v>
      </c>
      <c r="H265">
        <v>1949</v>
      </c>
      <c r="I265">
        <v>113</v>
      </c>
    </row>
    <row r="266" spans="1:9" x14ac:dyDescent="0.2">
      <c r="A266" t="s">
        <v>267</v>
      </c>
      <c r="B266" t="s">
        <v>197</v>
      </c>
      <c r="C266">
        <v>1950345</v>
      </c>
      <c r="D266" s="1">
        <v>18608</v>
      </c>
      <c r="E266">
        <v>195198</v>
      </c>
      <c r="F266" s="1">
        <v>18726</v>
      </c>
      <c r="G266">
        <v>118</v>
      </c>
      <c r="H266">
        <v>1950</v>
      </c>
      <c r="I266">
        <v>118</v>
      </c>
    </row>
    <row r="267" spans="1:9" x14ac:dyDescent="0.2">
      <c r="A267" t="s">
        <v>267</v>
      </c>
      <c r="B267" t="s">
        <v>198</v>
      </c>
      <c r="C267">
        <v>1951350</v>
      </c>
      <c r="D267" s="1">
        <v>18978</v>
      </c>
      <c r="E267">
        <v>195297</v>
      </c>
      <c r="F267" s="1">
        <v>19090</v>
      </c>
      <c r="G267">
        <v>112</v>
      </c>
      <c r="H267">
        <v>1951</v>
      </c>
      <c r="I267">
        <v>112</v>
      </c>
    </row>
    <row r="268" spans="1:9" x14ac:dyDescent="0.2">
      <c r="A268" t="s">
        <v>267</v>
      </c>
      <c r="B268" t="s">
        <v>199</v>
      </c>
      <c r="C268">
        <v>1952352</v>
      </c>
      <c r="D268" s="1">
        <v>19345</v>
      </c>
      <c r="E268">
        <v>195379</v>
      </c>
      <c r="F268" s="1">
        <v>19438</v>
      </c>
      <c r="G268">
        <v>93</v>
      </c>
      <c r="H268">
        <v>1952</v>
      </c>
      <c r="I268">
        <v>93</v>
      </c>
    </row>
    <row r="269" spans="1:9" x14ac:dyDescent="0.2">
      <c r="A269" t="s">
        <v>267</v>
      </c>
      <c r="B269" t="s">
        <v>200</v>
      </c>
      <c r="C269">
        <v>1953364</v>
      </c>
      <c r="D269" s="1">
        <v>19723</v>
      </c>
      <c r="E269">
        <v>195471</v>
      </c>
      <c r="F269" s="1">
        <v>19795</v>
      </c>
      <c r="G269">
        <v>72</v>
      </c>
      <c r="H269">
        <v>1953</v>
      </c>
      <c r="I269">
        <v>72</v>
      </c>
    </row>
    <row r="270" spans="1:9" x14ac:dyDescent="0.2">
      <c r="A270" t="s">
        <v>267</v>
      </c>
      <c r="B270" t="s">
        <v>201</v>
      </c>
      <c r="C270">
        <v>1954365</v>
      </c>
      <c r="D270" s="1">
        <v>20089</v>
      </c>
      <c r="E270">
        <v>195583</v>
      </c>
      <c r="F270" s="1">
        <v>20172</v>
      </c>
      <c r="G270">
        <v>83</v>
      </c>
      <c r="H270">
        <v>1954</v>
      </c>
      <c r="I270">
        <v>83</v>
      </c>
    </row>
    <row r="271" spans="1:9" x14ac:dyDescent="0.2">
      <c r="A271" t="s">
        <v>267</v>
      </c>
      <c r="B271" t="s">
        <v>202</v>
      </c>
      <c r="C271">
        <v>1955340</v>
      </c>
      <c r="D271" s="1">
        <v>20429</v>
      </c>
      <c r="E271">
        <v>195684</v>
      </c>
      <c r="F271" s="1">
        <v>20538</v>
      </c>
      <c r="G271">
        <v>109</v>
      </c>
      <c r="H271">
        <v>1955</v>
      </c>
      <c r="I271">
        <v>109</v>
      </c>
    </row>
    <row r="272" spans="1:9" x14ac:dyDescent="0.2">
      <c r="A272" t="s">
        <v>267</v>
      </c>
      <c r="B272" t="s">
        <v>203</v>
      </c>
      <c r="C272">
        <v>1956348</v>
      </c>
      <c r="D272" s="1">
        <v>20802</v>
      </c>
      <c r="E272">
        <v>195774</v>
      </c>
      <c r="F272" s="1">
        <v>20894</v>
      </c>
      <c r="G272">
        <v>92</v>
      </c>
      <c r="H272">
        <v>1956</v>
      </c>
      <c r="I272">
        <v>92</v>
      </c>
    </row>
    <row r="273" spans="1:9" x14ac:dyDescent="0.2">
      <c r="A273" t="s">
        <v>267</v>
      </c>
      <c r="B273" t="s">
        <v>204</v>
      </c>
      <c r="C273">
        <v>1957346</v>
      </c>
      <c r="D273" s="1">
        <v>21166</v>
      </c>
      <c r="E273">
        <v>195890</v>
      </c>
      <c r="F273" s="1">
        <v>21275</v>
      </c>
      <c r="G273">
        <v>109</v>
      </c>
      <c r="H273">
        <v>1957</v>
      </c>
      <c r="I273">
        <v>109</v>
      </c>
    </row>
    <row r="274" spans="1:9" x14ac:dyDescent="0.2">
      <c r="A274" t="s">
        <v>267</v>
      </c>
      <c r="B274" t="s">
        <v>205</v>
      </c>
      <c r="C274">
        <v>1958342</v>
      </c>
      <c r="D274" s="1">
        <v>21527</v>
      </c>
      <c r="E274">
        <v>1959102</v>
      </c>
      <c r="F274" s="1">
        <v>21652</v>
      </c>
      <c r="G274">
        <v>125</v>
      </c>
      <c r="H274">
        <v>1958</v>
      </c>
      <c r="I274">
        <v>125</v>
      </c>
    </row>
    <row r="275" spans="1:9" x14ac:dyDescent="0.2">
      <c r="A275" t="s">
        <v>267</v>
      </c>
      <c r="B275" t="s">
        <v>206</v>
      </c>
      <c r="C275">
        <v>1959363</v>
      </c>
      <c r="D275" s="1">
        <v>21913</v>
      </c>
      <c r="E275">
        <v>196099</v>
      </c>
      <c r="F275" s="1">
        <v>22014</v>
      </c>
      <c r="G275">
        <v>101</v>
      </c>
      <c r="H275">
        <v>1959</v>
      </c>
      <c r="I275">
        <v>101</v>
      </c>
    </row>
    <row r="276" spans="1:9" x14ac:dyDescent="0.2">
      <c r="A276" t="s">
        <v>267</v>
      </c>
      <c r="B276" t="s">
        <v>207</v>
      </c>
      <c r="C276">
        <v>1960354</v>
      </c>
      <c r="D276" s="1">
        <v>22269</v>
      </c>
      <c r="E276">
        <v>196186</v>
      </c>
      <c r="F276" s="1">
        <v>22367</v>
      </c>
      <c r="G276">
        <v>98</v>
      </c>
      <c r="H276">
        <v>1960</v>
      </c>
      <c r="I276">
        <v>98</v>
      </c>
    </row>
    <row r="277" spans="1:9" x14ac:dyDescent="0.2">
      <c r="A277" t="s">
        <v>267</v>
      </c>
      <c r="B277" t="s">
        <v>208</v>
      </c>
      <c r="C277">
        <v>1961349</v>
      </c>
      <c r="D277" s="1">
        <v>22630</v>
      </c>
      <c r="E277">
        <v>196297</v>
      </c>
      <c r="F277" s="1">
        <v>22743</v>
      </c>
      <c r="G277">
        <v>113</v>
      </c>
      <c r="H277">
        <v>1961</v>
      </c>
      <c r="I277">
        <v>113</v>
      </c>
    </row>
    <row r="278" spans="1:9" x14ac:dyDescent="0.2">
      <c r="A278" t="s">
        <v>267</v>
      </c>
      <c r="B278" t="s">
        <v>209</v>
      </c>
      <c r="C278">
        <v>1962346</v>
      </c>
      <c r="D278" s="1">
        <v>22992</v>
      </c>
      <c r="E278">
        <v>196393</v>
      </c>
      <c r="F278" s="1">
        <v>23104</v>
      </c>
      <c r="G278">
        <v>112</v>
      </c>
      <c r="H278">
        <v>1962</v>
      </c>
      <c r="I278">
        <v>112</v>
      </c>
    </row>
    <row r="279" spans="1:9" x14ac:dyDescent="0.2">
      <c r="A279" t="s">
        <v>267</v>
      </c>
      <c r="B279" t="s">
        <v>210</v>
      </c>
      <c r="C279">
        <v>1963352</v>
      </c>
      <c r="D279" s="1">
        <v>23363</v>
      </c>
      <c r="E279">
        <v>196479</v>
      </c>
      <c r="F279" s="1">
        <v>23455</v>
      </c>
      <c r="G279">
        <v>92</v>
      </c>
      <c r="H279">
        <v>1963</v>
      </c>
      <c r="I279">
        <v>92</v>
      </c>
    </row>
    <row r="280" spans="1:9" x14ac:dyDescent="0.2">
      <c r="A280" t="s">
        <v>267</v>
      </c>
      <c r="B280" t="s">
        <v>211</v>
      </c>
      <c r="C280">
        <v>1964350</v>
      </c>
      <c r="D280" s="1">
        <v>23726</v>
      </c>
      <c r="E280">
        <v>196598</v>
      </c>
      <c r="F280" s="1">
        <v>23840</v>
      </c>
      <c r="G280">
        <v>114</v>
      </c>
      <c r="H280">
        <v>1964</v>
      </c>
      <c r="I280">
        <v>114</v>
      </c>
    </row>
    <row r="281" spans="1:9" x14ac:dyDescent="0.2">
      <c r="A281" t="s">
        <v>267</v>
      </c>
      <c r="B281" t="s">
        <v>212</v>
      </c>
      <c r="C281">
        <v>196611</v>
      </c>
      <c r="D281" s="1">
        <v>24118</v>
      </c>
      <c r="E281">
        <v>196676</v>
      </c>
      <c r="F281" s="1">
        <v>24183</v>
      </c>
      <c r="G281">
        <v>65</v>
      </c>
      <c r="H281">
        <v>1965</v>
      </c>
      <c r="I281">
        <v>65</v>
      </c>
    </row>
    <row r="282" spans="1:9" x14ac:dyDescent="0.2">
      <c r="A282" t="s">
        <v>267</v>
      </c>
      <c r="B282" t="s">
        <v>213</v>
      </c>
      <c r="C282">
        <v>19675</v>
      </c>
      <c r="D282" s="1">
        <v>24477</v>
      </c>
      <c r="E282">
        <v>196793</v>
      </c>
      <c r="F282" s="1">
        <v>24565</v>
      </c>
      <c r="G282">
        <v>88</v>
      </c>
      <c r="H282">
        <v>1966</v>
      </c>
      <c r="I282">
        <v>88</v>
      </c>
    </row>
    <row r="283" spans="1:9" x14ac:dyDescent="0.2">
      <c r="A283" t="s">
        <v>267</v>
      </c>
      <c r="B283" t="s">
        <v>214</v>
      </c>
      <c r="C283">
        <v>1967358</v>
      </c>
      <c r="D283" s="1">
        <v>24830</v>
      </c>
      <c r="E283">
        <v>196880</v>
      </c>
      <c r="F283" s="1">
        <v>24917</v>
      </c>
      <c r="G283">
        <v>87</v>
      </c>
      <c r="H283">
        <v>1967</v>
      </c>
      <c r="I283">
        <v>87</v>
      </c>
    </row>
    <row r="284" spans="1:9" x14ac:dyDescent="0.2">
      <c r="A284" t="s">
        <v>267</v>
      </c>
      <c r="B284" t="s">
        <v>215</v>
      </c>
      <c r="C284">
        <v>1968350</v>
      </c>
      <c r="D284" s="1">
        <v>25187</v>
      </c>
      <c r="E284">
        <v>196985</v>
      </c>
      <c r="F284" s="1">
        <v>25288</v>
      </c>
      <c r="G284">
        <v>101</v>
      </c>
      <c r="H284">
        <v>1968</v>
      </c>
      <c r="I284">
        <v>101</v>
      </c>
    </row>
    <row r="285" spans="1:9" x14ac:dyDescent="0.2">
      <c r="A285" t="s">
        <v>267</v>
      </c>
      <c r="B285" t="s">
        <v>216</v>
      </c>
      <c r="C285">
        <v>1969350</v>
      </c>
      <c r="D285" s="1">
        <v>25553</v>
      </c>
      <c r="E285">
        <v>197077</v>
      </c>
      <c r="F285" s="1">
        <v>25645</v>
      </c>
      <c r="G285">
        <v>92</v>
      </c>
      <c r="H285">
        <v>1969</v>
      </c>
      <c r="I285">
        <v>92</v>
      </c>
    </row>
    <row r="286" spans="1:9" x14ac:dyDescent="0.2">
      <c r="A286" t="s">
        <v>267</v>
      </c>
      <c r="B286" t="s">
        <v>217</v>
      </c>
      <c r="C286">
        <v>1970349</v>
      </c>
      <c r="D286" s="1">
        <v>25917</v>
      </c>
      <c r="E286">
        <v>197177</v>
      </c>
      <c r="F286" s="1">
        <v>26010</v>
      </c>
      <c r="G286">
        <v>93</v>
      </c>
      <c r="H286">
        <v>1970</v>
      </c>
      <c r="I286">
        <v>93</v>
      </c>
    </row>
    <row r="287" spans="1:9" x14ac:dyDescent="0.2">
      <c r="A287" t="s">
        <v>267</v>
      </c>
      <c r="B287" t="s">
        <v>218</v>
      </c>
      <c r="C287">
        <v>19724</v>
      </c>
      <c r="D287" s="1">
        <v>26302</v>
      </c>
      <c r="E287">
        <v>197299</v>
      </c>
      <c r="F287" s="1">
        <v>26397</v>
      </c>
      <c r="G287">
        <v>95</v>
      </c>
      <c r="H287">
        <v>1971</v>
      </c>
      <c r="I287">
        <v>95</v>
      </c>
    </row>
    <row r="288" spans="1:9" x14ac:dyDescent="0.2">
      <c r="A288" t="s">
        <v>267</v>
      </c>
      <c r="B288" t="s">
        <v>219</v>
      </c>
      <c r="C288">
        <v>1972342</v>
      </c>
      <c r="D288" s="1">
        <v>26640</v>
      </c>
      <c r="E288">
        <v>197366</v>
      </c>
      <c r="F288" s="1">
        <v>26730</v>
      </c>
      <c r="G288">
        <v>90</v>
      </c>
      <c r="H288">
        <v>1972</v>
      </c>
      <c r="I288">
        <v>90</v>
      </c>
    </row>
    <row r="289" spans="1:9" x14ac:dyDescent="0.2">
      <c r="A289" t="s">
        <v>267</v>
      </c>
      <c r="B289" t="s">
        <v>220</v>
      </c>
      <c r="C289">
        <v>1973354</v>
      </c>
      <c r="D289" s="1">
        <v>27018</v>
      </c>
      <c r="E289">
        <v>197483</v>
      </c>
      <c r="F289" s="1">
        <v>27112</v>
      </c>
      <c r="G289">
        <v>94</v>
      </c>
      <c r="H289">
        <v>1973</v>
      </c>
      <c r="I289">
        <v>94</v>
      </c>
    </row>
    <row r="290" spans="1:9" x14ac:dyDescent="0.2">
      <c r="A290" t="s">
        <v>267</v>
      </c>
      <c r="B290" t="s">
        <v>221</v>
      </c>
      <c r="C290">
        <v>19752</v>
      </c>
      <c r="D290" s="1">
        <v>27396</v>
      </c>
      <c r="E290">
        <v>197597</v>
      </c>
      <c r="F290" s="1">
        <v>27491</v>
      </c>
      <c r="G290">
        <v>95</v>
      </c>
      <c r="H290">
        <v>1974</v>
      </c>
      <c r="I290">
        <v>95</v>
      </c>
    </row>
    <row r="291" spans="1:9" x14ac:dyDescent="0.2">
      <c r="A291" t="s">
        <v>267</v>
      </c>
      <c r="B291" t="s">
        <v>222</v>
      </c>
      <c r="C291">
        <v>1975355</v>
      </c>
      <c r="D291" s="1">
        <v>27749</v>
      </c>
      <c r="E291">
        <v>197680</v>
      </c>
      <c r="F291" s="1">
        <v>27839</v>
      </c>
      <c r="G291">
        <v>90</v>
      </c>
      <c r="H291">
        <v>1975</v>
      </c>
      <c r="I291">
        <v>90</v>
      </c>
    </row>
    <row r="292" spans="1:9" x14ac:dyDescent="0.2">
      <c r="A292" t="s">
        <v>267</v>
      </c>
      <c r="B292" t="s">
        <v>223</v>
      </c>
      <c r="C292">
        <v>1976336</v>
      </c>
      <c r="D292" s="1">
        <v>28095</v>
      </c>
      <c r="E292">
        <v>197773</v>
      </c>
      <c r="F292" s="1">
        <v>28198</v>
      </c>
      <c r="G292">
        <v>103</v>
      </c>
      <c r="H292">
        <v>1976</v>
      </c>
      <c r="I292">
        <v>103</v>
      </c>
    </row>
    <row r="293" spans="1:9" x14ac:dyDescent="0.2">
      <c r="A293" t="s">
        <v>267</v>
      </c>
      <c r="B293" t="s">
        <v>224</v>
      </c>
      <c r="C293">
        <v>1977341</v>
      </c>
      <c r="D293" s="1">
        <v>28466</v>
      </c>
      <c r="E293">
        <v>197897</v>
      </c>
      <c r="F293" s="1">
        <v>28587</v>
      </c>
      <c r="G293">
        <v>121</v>
      </c>
      <c r="H293">
        <v>1977</v>
      </c>
      <c r="I293">
        <v>121</v>
      </c>
    </row>
    <row r="294" spans="1:9" x14ac:dyDescent="0.2">
      <c r="A294" t="s">
        <v>267</v>
      </c>
      <c r="B294" t="s">
        <v>225</v>
      </c>
      <c r="C294">
        <v>1978343</v>
      </c>
      <c r="D294" s="1">
        <v>28833</v>
      </c>
      <c r="E294">
        <v>197995</v>
      </c>
      <c r="F294" s="1">
        <v>28950</v>
      </c>
      <c r="G294">
        <v>117</v>
      </c>
      <c r="H294">
        <v>1978</v>
      </c>
      <c r="I294">
        <v>117</v>
      </c>
    </row>
    <row r="295" spans="1:9" x14ac:dyDescent="0.2">
      <c r="A295" t="s">
        <v>267</v>
      </c>
      <c r="B295" t="s">
        <v>226</v>
      </c>
      <c r="C295">
        <v>1979351</v>
      </c>
      <c r="D295" s="1">
        <v>29206</v>
      </c>
      <c r="E295">
        <v>198090</v>
      </c>
      <c r="F295" s="1">
        <v>29310</v>
      </c>
      <c r="G295">
        <v>104</v>
      </c>
      <c r="H295">
        <v>1979</v>
      </c>
      <c r="I295">
        <v>104</v>
      </c>
    </row>
    <row r="296" spans="1:9" x14ac:dyDescent="0.2">
      <c r="A296" t="s">
        <v>267</v>
      </c>
      <c r="B296" t="s">
        <v>227</v>
      </c>
      <c r="C296">
        <v>1980355</v>
      </c>
      <c r="D296" s="1">
        <v>29575</v>
      </c>
      <c r="E296">
        <v>198175</v>
      </c>
      <c r="F296" s="1">
        <v>29661</v>
      </c>
      <c r="G296">
        <v>86</v>
      </c>
      <c r="H296">
        <v>1980</v>
      </c>
      <c r="I296">
        <v>86</v>
      </c>
    </row>
    <row r="297" spans="1:9" x14ac:dyDescent="0.2">
      <c r="A297" t="s">
        <v>267</v>
      </c>
      <c r="B297" t="s">
        <v>228</v>
      </c>
      <c r="C297">
        <v>1981354</v>
      </c>
      <c r="D297" s="1">
        <v>29940</v>
      </c>
      <c r="E297">
        <v>198289</v>
      </c>
      <c r="F297" s="1">
        <v>30040</v>
      </c>
      <c r="G297">
        <v>100</v>
      </c>
      <c r="H297">
        <v>1981</v>
      </c>
      <c r="I297">
        <v>100</v>
      </c>
    </row>
    <row r="298" spans="1:9" x14ac:dyDescent="0.2">
      <c r="A298" t="s">
        <v>267</v>
      </c>
      <c r="B298" t="s">
        <v>229</v>
      </c>
      <c r="C298">
        <v>19839</v>
      </c>
      <c r="D298" s="1">
        <v>30325</v>
      </c>
      <c r="E298">
        <v>198365</v>
      </c>
      <c r="F298" s="1">
        <v>30381</v>
      </c>
      <c r="G298">
        <v>56</v>
      </c>
      <c r="H298">
        <v>1982</v>
      </c>
      <c r="I298">
        <v>56</v>
      </c>
    </row>
    <row r="299" spans="1:9" x14ac:dyDescent="0.2">
      <c r="A299" t="s">
        <v>267</v>
      </c>
      <c r="B299" t="s">
        <v>230</v>
      </c>
      <c r="C299">
        <v>1983352</v>
      </c>
      <c r="D299" s="1">
        <v>30668</v>
      </c>
      <c r="E299">
        <v>198494</v>
      </c>
      <c r="F299" s="1">
        <v>30775</v>
      </c>
      <c r="G299">
        <v>107</v>
      </c>
      <c r="H299">
        <v>1983</v>
      </c>
      <c r="I299">
        <v>107</v>
      </c>
    </row>
    <row r="300" spans="1:9" x14ac:dyDescent="0.2">
      <c r="A300" t="s">
        <v>267</v>
      </c>
      <c r="B300" t="s">
        <v>231</v>
      </c>
      <c r="C300">
        <v>1984359</v>
      </c>
      <c r="D300" s="1">
        <v>31040</v>
      </c>
      <c r="E300">
        <v>198585</v>
      </c>
      <c r="F300" s="1">
        <v>31132</v>
      </c>
      <c r="G300">
        <v>92</v>
      </c>
      <c r="H300">
        <v>1984</v>
      </c>
      <c r="I300">
        <v>92</v>
      </c>
    </row>
    <row r="301" spans="1:9" x14ac:dyDescent="0.2">
      <c r="A301" t="s">
        <v>267</v>
      </c>
      <c r="B301" t="s">
        <v>232</v>
      </c>
      <c r="C301">
        <v>1985340</v>
      </c>
      <c r="D301" s="1">
        <v>31387</v>
      </c>
      <c r="E301">
        <v>198688</v>
      </c>
      <c r="F301" s="1">
        <v>31500</v>
      </c>
      <c r="G301">
        <v>113</v>
      </c>
      <c r="H301">
        <v>1985</v>
      </c>
      <c r="I301">
        <v>113</v>
      </c>
    </row>
    <row r="302" spans="1:9" x14ac:dyDescent="0.2">
      <c r="A302" t="s">
        <v>267</v>
      </c>
      <c r="B302" t="s">
        <v>233</v>
      </c>
      <c r="C302">
        <v>1986347</v>
      </c>
      <c r="D302" s="1">
        <v>31759</v>
      </c>
      <c r="E302">
        <v>198767</v>
      </c>
      <c r="F302" s="1">
        <v>31844</v>
      </c>
      <c r="G302">
        <v>85</v>
      </c>
      <c r="H302">
        <v>1986</v>
      </c>
      <c r="I302">
        <v>85</v>
      </c>
    </row>
    <row r="303" spans="1:9" x14ac:dyDescent="0.2">
      <c r="A303" t="s">
        <v>267</v>
      </c>
      <c r="B303" t="s">
        <v>234</v>
      </c>
      <c r="C303">
        <v>1987359</v>
      </c>
      <c r="D303" s="1">
        <v>32136</v>
      </c>
      <c r="E303">
        <v>198885</v>
      </c>
      <c r="F303" s="1">
        <v>32227</v>
      </c>
      <c r="G303">
        <v>91</v>
      </c>
      <c r="H303">
        <v>1987</v>
      </c>
      <c r="I303">
        <v>91</v>
      </c>
    </row>
    <row r="304" spans="1:9" x14ac:dyDescent="0.2">
      <c r="A304" t="s">
        <v>267</v>
      </c>
      <c r="B304" t="s">
        <v>235</v>
      </c>
      <c r="C304">
        <v>1988364</v>
      </c>
      <c r="D304" s="1">
        <v>32506</v>
      </c>
      <c r="E304">
        <v>198991</v>
      </c>
      <c r="F304" s="1">
        <v>32599</v>
      </c>
      <c r="G304">
        <v>93</v>
      </c>
      <c r="H304">
        <v>1988</v>
      </c>
      <c r="I304">
        <v>93</v>
      </c>
    </row>
    <row r="305" spans="1:9" x14ac:dyDescent="0.2">
      <c r="A305" t="s">
        <v>267</v>
      </c>
      <c r="B305" t="s">
        <v>236</v>
      </c>
      <c r="C305">
        <v>1989341</v>
      </c>
      <c r="D305" s="1">
        <v>32849</v>
      </c>
      <c r="E305">
        <v>199074</v>
      </c>
      <c r="F305" s="1">
        <v>32947</v>
      </c>
      <c r="G305">
        <v>98</v>
      </c>
      <c r="H305">
        <v>1989</v>
      </c>
      <c r="I305">
        <v>98</v>
      </c>
    </row>
    <row r="306" spans="1:9" x14ac:dyDescent="0.2">
      <c r="A306" t="s">
        <v>267</v>
      </c>
      <c r="B306" t="s">
        <v>237</v>
      </c>
      <c r="C306">
        <v>1990357</v>
      </c>
      <c r="D306" s="1">
        <v>33230</v>
      </c>
      <c r="E306">
        <v>199180</v>
      </c>
      <c r="F306" s="1">
        <v>33318</v>
      </c>
      <c r="G306">
        <v>88</v>
      </c>
      <c r="H306">
        <v>1990</v>
      </c>
      <c r="I306">
        <v>88</v>
      </c>
    </row>
    <row r="307" spans="1:9" x14ac:dyDescent="0.2">
      <c r="A307" t="s">
        <v>267</v>
      </c>
      <c r="B307" t="s">
        <v>238</v>
      </c>
      <c r="C307">
        <v>1991350</v>
      </c>
      <c r="D307" s="1">
        <v>33588</v>
      </c>
      <c r="E307">
        <v>199276</v>
      </c>
      <c r="F307" s="1">
        <v>33679</v>
      </c>
      <c r="G307">
        <v>91</v>
      </c>
      <c r="H307">
        <v>1991</v>
      </c>
      <c r="I307">
        <v>91</v>
      </c>
    </row>
    <row r="308" spans="1:9" x14ac:dyDescent="0.2">
      <c r="A308" t="s">
        <v>267</v>
      </c>
      <c r="B308" t="s">
        <v>239</v>
      </c>
      <c r="C308">
        <v>1992359</v>
      </c>
      <c r="D308" s="1">
        <v>33962</v>
      </c>
      <c r="E308">
        <v>1993101</v>
      </c>
      <c r="F308" s="1">
        <v>34070</v>
      </c>
      <c r="G308">
        <v>108</v>
      </c>
      <c r="H308">
        <v>1992</v>
      </c>
      <c r="I308">
        <v>108</v>
      </c>
    </row>
    <row r="309" spans="1:9" x14ac:dyDescent="0.2">
      <c r="A309" t="s">
        <v>267</v>
      </c>
      <c r="B309" t="s">
        <v>240</v>
      </c>
      <c r="C309">
        <v>1993360</v>
      </c>
      <c r="D309" s="1">
        <v>34329</v>
      </c>
      <c r="E309">
        <v>199490</v>
      </c>
      <c r="F309" s="1">
        <v>34424</v>
      </c>
      <c r="G309">
        <v>95</v>
      </c>
      <c r="H309">
        <v>1993</v>
      </c>
      <c r="I309">
        <v>95</v>
      </c>
    </row>
    <row r="310" spans="1:9" x14ac:dyDescent="0.2">
      <c r="A310" t="s">
        <v>267</v>
      </c>
      <c r="B310" t="s">
        <v>241</v>
      </c>
      <c r="C310">
        <v>19955</v>
      </c>
      <c r="D310" s="1">
        <v>34704</v>
      </c>
      <c r="E310">
        <v>199590</v>
      </c>
      <c r="F310" s="1">
        <v>34789</v>
      </c>
      <c r="G310">
        <v>85</v>
      </c>
      <c r="H310">
        <v>1994</v>
      </c>
      <c r="I310">
        <v>85</v>
      </c>
    </row>
    <row r="311" spans="1:9" x14ac:dyDescent="0.2">
      <c r="A311" t="s">
        <v>267</v>
      </c>
      <c r="B311" t="s">
        <v>242</v>
      </c>
      <c r="C311">
        <v>1995333</v>
      </c>
      <c r="D311" s="1">
        <v>35032</v>
      </c>
      <c r="E311">
        <v>199684</v>
      </c>
      <c r="F311" s="1">
        <v>35148</v>
      </c>
      <c r="G311">
        <v>107</v>
      </c>
      <c r="H311">
        <v>1995</v>
      </c>
      <c r="I311">
        <v>107</v>
      </c>
    </row>
    <row r="312" spans="1:9" x14ac:dyDescent="0.2">
      <c r="A312" t="s">
        <v>267</v>
      </c>
      <c r="B312" t="s">
        <v>243</v>
      </c>
      <c r="C312">
        <v>1996355</v>
      </c>
      <c r="D312" s="1">
        <v>35419</v>
      </c>
      <c r="E312">
        <v>199785</v>
      </c>
      <c r="F312" s="1">
        <v>35515</v>
      </c>
      <c r="G312">
        <v>96</v>
      </c>
      <c r="H312">
        <v>1996</v>
      </c>
      <c r="I312">
        <v>96</v>
      </c>
    </row>
    <row r="313" spans="1:9" x14ac:dyDescent="0.2">
      <c r="A313" t="s">
        <v>267</v>
      </c>
      <c r="B313" t="s">
        <v>244</v>
      </c>
      <c r="C313">
        <v>199811</v>
      </c>
      <c r="D313" s="1">
        <v>35806</v>
      </c>
      <c r="E313">
        <v>199858</v>
      </c>
      <c r="F313" s="1">
        <v>35853</v>
      </c>
      <c r="G313">
        <v>47</v>
      </c>
      <c r="H313">
        <v>1997</v>
      </c>
      <c r="I313">
        <v>47</v>
      </c>
    </row>
    <row r="314" spans="1:9" x14ac:dyDescent="0.2">
      <c r="A314" t="s">
        <v>267</v>
      </c>
      <c r="B314" t="s">
        <v>245</v>
      </c>
      <c r="C314">
        <v>1998364</v>
      </c>
      <c r="D314" s="1">
        <v>36159</v>
      </c>
      <c r="E314">
        <v>199969</v>
      </c>
      <c r="F314" s="1">
        <v>36229</v>
      </c>
      <c r="G314">
        <v>70</v>
      </c>
      <c r="H314">
        <v>1998</v>
      </c>
      <c r="I314">
        <v>70</v>
      </c>
    </row>
    <row r="315" spans="1:9" x14ac:dyDescent="0.2">
      <c r="A315" t="s">
        <v>267</v>
      </c>
      <c r="B315" t="s">
        <v>246</v>
      </c>
      <c r="C315">
        <v>200014</v>
      </c>
      <c r="D315" s="1">
        <v>36539</v>
      </c>
      <c r="E315">
        <v>200066</v>
      </c>
      <c r="F315" s="1">
        <v>36591</v>
      </c>
      <c r="G315">
        <v>52</v>
      </c>
      <c r="H315">
        <v>1999</v>
      </c>
      <c r="I315">
        <v>52</v>
      </c>
    </row>
    <row r="316" spans="1:9" x14ac:dyDescent="0.2">
      <c r="A316" t="s">
        <v>267</v>
      </c>
      <c r="B316" t="s">
        <v>247</v>
      </c>
      <c r="C316">
        <v>2000348</v>
      </c>
      <c r="D316" s="1">
        <v>36873</v>
      </c>
      <c r="E316">
        <v>200190</v>
      </c>
      <c r="F316" s="1">
        <v>36981</v>
      </c>
      <c r="G316">
        <v>108</v>
      </c>
      <c r="H316">
        <v>2000</v>
      </c>
      <c r="I316">
        <v>108</v>
      </c>
    </row>
    <row r="317" spans="1:9" x14ac:dyDescent="0.2">
      <c r="A317" t="s">
        <v>267</v>
      </c>
      <c r="B317" t="s">
        <v>248</v>
      </c>
      <c r="C317">
        <v>20021</v>
      </c>
      <c r="D317" s="1">
        <v>37257</v>
      </c>
      <c r="E317">
        <v>200257</v>
      </c>
      <c r="F317" s="1">
        <v>37313</v>
      </c>
      <c r="G317">
        <v>56</v>
      </c>
      <c r="H317">
        <v>2001</v>
      </c>
      <c r="I317">
        <v>56</v>
      </c>
    </row>
    <row r="318" spans="1:9" x14ac:dyDescent="0.2">
      <c r="A318" t="s">
        <v>267</v>
      </c>
      <c r="B318" t="s">
        <v>249</v>
      </c>
      <c r="C318">
        <v>2002343</v>
      </c>
      <c r="D318" s="1">
        <v>37599</v>
      </c>
      <c r="E318">
        <v>200381</v>
      </c>
      <c r="F318" s="1">
        <v>37702</v>
      </c>
      <c r="G318">
        <v>83</v>
      </c>
      <c r="H318">
        <v>2002</v>
      </c>
      <c r="I318">
        <v>83</v>
      </c>
    </row>
    <row r="319" spans="1:9" x14ac:dyDescent="0.2">
      <c r="A319" t="s">
        <v>267</v>
      </c>
      <c r="B319" t="s">
        <v>250</v>
      </c>
      <c r="C319">
        <v>2003359</v>
      </c>
      <c r="D319" s="1">
        <v>37980</v>
      </c>
      <c r="E319">
        <v>200480</v>
      </c>
      <c r="F319" s="1">
        <v>38066</v>
      </c>
      <c r="G319">
        <v>75</v>
      </c>
      <c r="H319">
        <v>2003</v>
      </c>
      <c r="I319">
        <v>75</v>
      </c>
    </row>
    <row r="320" spans="1:9" x14ac:dyDescent="0.2">
      <c r="A320" t="s">
        <v>267</v>
      </c>
      <c r="B320" t="s">
        <v>251</v>
      </c>
      <c r="C320">
        <v>2004359</v>
      </c>
      <c r="D320" s="1">
        <v>38345</v>
      </c>
      <c r="E320">
        <v>200590</v>
      </c>
      <c r="F320" s="1">
        <v>38442</v>
      </c>
      <c r="G320">
        <v>97</v>
      </c>
      <c r="H320">
        <v>2004</v>
      </c>
      <c r="I320">
        <v>97</v>
      </c>
    </row>
    <row r="321" spans="1:9" x14ac:dyDescent="0.2">
      <c r="A321" t="s">
        <v>267</v>
      </c>
      <c r="B321" t="s">
        <v>252</v>
      </c>
      <c r="C321">
        <v>2005342</v>
      </c>
      <c r="D321" s="1">
        <v>38694</v>
      </c>
      <c r="E321">
        <v>200671</v>
      </c>
      <c r="F321" s="1">
        <v>38788</v>
      </c>
      <c r="G321">
        <v>94</v>
      </c>
      <c r="H321">
        <v>2005</v>
      </c>
      <c r="I321">
        <v>94</v>
      </c>
    </row>
    <row r="322" spans="1:9" x14ac:dyDescent="0.2">
      <c r="A322" t="s">
        <v>267</v>
      </c>
      <c r="B322" t="s">
        <v>253</v>
      </c>
      <c r="C322">
        <v>200718</v>
      </c>
      <c r="D322" s="1">
        <v>39100</v>
      </c>
      <c r="E322">
        <v>200785</v>
      </c>
      <c r="F322" s="1">
        <v>39167</v>
      </c>
      <c r="G322">
        <v>67</v>
      </c>
      <c r="H322">
        <v>2006</v>
      </c>
      <c r="I322">
        <v>67</v>
      </c>
    </row>
    <row r="323" spans="1:9" x14ac:dyDescent="0.2">
      <c r="A323" t="s">
        <v>267</v>
      </c>
      <c r="B323" t="s">
        <v>254</v>
      </c>
      <c r="C323">
        <v>2007341</v>
      </c>
      <c r="D323" s="1">
        <v>39423</v>
      </c>
      <c r="E323">
        <v>200898</v>
      </c>
      <c r="F323" s="1">
        <v>39545</v>
      </c>
      <c r="G323">
        <v>122</v>
      </c>
      <c r="H323">
        <v>2007</v>
      </c>
      <c r="I323">
        <v>122</v>
      </c>
    </row>
    <row r="324" spans="1:9" x14ac:dyDescent="0.2">
      <c r="A324" t="s">
        <v>267</v>
      </c>
      <c r="B324" t="s">
        <v>255</v>
      </c>
      <c r="C324">
        <v>2008351</v>
      </c>
      <c r="D324" s="1">
        <v>39798</v>
      </c>
      <c r="E324">
        <v>200983</v>
      </c>
      <c r="F324" s="1">
        <v>39896</v>
      </c>
      <c r="G324">
        <v>98</v>
      </c>
      <c r="H324">
        <v>2008</v>
      </c>
      <c r="I324">
        <v>98</v>
      </c>
    </row>
    <row r="325" spans="1:9" x14ac:dyDescent="0.2">
      <c r="A325" t="s">
        <v>267</v>
      </c>
      <c r="B325" t="s">
        <v>256</v>
      </c>
      <c r="C325">
        <v>2009361</v>
      </c>
      <c r="D325" s="1">
        <v>40174</v>
      </c>
      <c r="E325">
        <v>201084</v>
      </c>
      <c r="F325" s="1">
        <v>40262</v>
      </c>
      <c r="G325">
        <v>88</v>
      </c>
      <c r="H325">
        <v>2009</v>
      </c>
      <c r="I325">
        <v>88</v>
      </c>
    </row>
    <row r="326" spans="1:9" x14ac:dyDescent="0.2">
      <c r="A326" t="s">
        <v>267</v>
      </c>
      <c r="B326" t="s">
        <v>257</v>
      </c>
      <c r="C326">
        <v>2010343</v>
      </c>
      <c r="D326" s="1">
        <v>40521</v>
      </c>
      <c r="E326">
        <v>201193</v>
      </c>
      <c r="F326" s="1">
        <v>40636</v>
      </c>
      <c r="G326">
        <v>116</v>
      </c>
      <c r="H326">
        <v>2010</v>
      </c>
      <c r="I326">
        <v>116</v>
      </c>
    </row>
    <row r="327" spans="1:9" x14ac:dyDescent="0.2">
      <c r="A327" t="s">
        <v>267</v>
      </c>
      <c r="B327" t="s">
        <v>258</v>
      </c>
      <c r="C327">
        <v>20123</v>
      </c>
      <c r="D327" s="1">
        <v>40911</v>
      </c>
      <c r="E327">
        <v>201272</v>
      </c>
      <c r="F327" s="1">
        <v>40980</v>
      </c>
      <c r="G327">
        <v>69</v>
      </c>
      <c r="H327">
        <v>2011</v>
      </c>
      <c r="I327">
        <v>69</v>
      </c>
    </row>
    <row r="328" spans="1:9" x14ac:dyDescent="0.2">
      <c r="A328" t="s">
        <v>267</v>
      </c>
      <c r="B328" t="s">
        <v>259</v>
      </c>
      <c r="C328">
        <v>2012366</v>
      </c>
      <c r="D328" s="1">
        <v>41274</v>
      </c>
      <c r="E328">
        <v>2013101</v>
      </c>
      <c r="F328" s="1">
        <v>41375</v>
      </c>
      <c r="G328">
        <v>101</v>
      </c>
      <c r="H328">
        <v>2012</v>
      </c>
      <c r="I328">
        <v>101</v>
      </c>
    </row>
    <row r="329" spans="1:9" x14ac:dyDescent="0.2">
      <c r="A329" t="s">
        <v>267</v>
      </c>
      <c r="B329" t="s">
        <v>260</v>
      </c>
      <c r="C329">
        <v>2013344</v>
      </c>
      <c r="D329" s="1">
        <v>41618</v>
      </c>
      <c r="E329">
        <v>2014100</v>
      </c>
      <c r="F329" s="1">
        <v>41739</v>
      </c>
      <c r="G329">
        <v>121</v>
      </c>
      <c r="H329">
        <v>2013</v>
      </c>
      <c r="I329">
        <v>121</v>
      </c>
    </row>
    <row r="330" spans="1:9" x14ac:dyDescent="0.2">
      <c r="A330" t="s">
        <v>267</v>
      </c>
      <c r="B330" t="s">
        <v>261</v>
      </c>
      <c r="C330">
        <v>2014336</v>
      </c>
      <c r="D330" s="1">
        <v>41975</v>
      </c>
      <c r="E330">
        <v>201592</v>
      </c>
      <c r="F330" s="1">
        <v>42096</v>
      </c>
      <c r="G330">
        <v>105</v>
      </c>
      <c r="H330">
        <v>2014</v>
      </c>
      <c r="I330">
        <v>105</v>
      </c>
    </row>
    <row r="331" spans="1:9" x14ac:dyDescent="0.2">
      <c r="A331" t="s">
        <v>267</v>
      </c>
      <c r="B331" t="s">
        <v>262</v>
      </c>
      <c r="C331">
        <v>201611</v>
      </c>
      <c r="D331" s="1">
        <v>42380</v>
      </c>
      <c r="E331">
        <v>201673</v>
      </c>
      <c r="F331" s="1">
        <v>42442</v>
      </c>
      <c r="G331">
        <v>62</v>
      </c>
      <c r="H331">
        <v>2015</v>
      </c>
      <c r="I331">
        <v>62</v>
      </c>
    </row>
    <row r="332" spans="1:9" x14ac:dyDescent="0.2">
      <c r="A332" t="s">
        <v>267</v>
      </c>
      <c r="B332" t="s">
        <v>263</v>
      </c>
      <c r="C332">
        <v>2016351</v>
      </c>
      <c r="D332" s="1">
        <v>42720</v>
      </c>
      <c r="E332">
        <v>201766</v>
      </c>
      <c r="F332" s="1">
        <v>42801</v>
      </c>
      <c r="G332">
        <v>81</v>
      </c>
      <c r="H332">
        <v>2016</v>
      </c>
      <c r="I332">
        <v>81</v>
      </c>
    </row>
    <row r="333" spans="1:9" x14ac:dyDescent="0.2">
      <c r="A333" t="s">
        <v>267</v>
      </c>
      <c r="B333" t="s">
        <v>264</v>
      </c>
      <c r="C333">
        <v>2017360</v>
      </c>
      <c r="D333" s="1">
        <v>43095</v>
      </c>
      <c r="E333">
        <v>201888</v>
      </c>
      <c r="F333" s="1">
        <v>43188</v>
      </c>
      <c r="G333">
        <v>93</v>
      </c>
      <c r="H333">
        <v>2017</v>
      </c>
      <c r="I333">
        <v>93</v>
      </c>
    </row>
    <row r="334" spans="1:9" x14ac:dyDescent="0.2">
      <c r="A334" t="s">
        <v>267</v>
      </c>
      <c r="B334" t="s">
        <v>265</v>
      </c>
      <c r="C334">
        <v>2018345</v>
      </c>
      <c r="D334" s="1">
        <v>43445</v>
      </c>
      <c r="E334">
        <v>201990</v>
      </c>
      <c r="F334" s="1">
        <v>43555</v>
      </c>
      <c r="G334">
        <v>97</v>
      </c>
      <c r="H334">
        <v>2018</v>
      </c>
      <c r="I334">
        <v>97</v>
      </c>
    </row>
    <row r="335" spans="1:9" x14ac:dyDescent="0.2">
      <c r="A335" t="s">
        <v>267</v>
      </c>
      <c r="B335" t="s">
        <v>266</v>
      </c>
      <c r="C335">
        <v>2019350</v>
      </c>
      <c r="D335" s="1">
        <v>43815</v>
      </c>
      <c r="E335">
        <v>202080</v>
      </c>
      <c r="F335" s="1">
        <v>43910</v>
      </c>
      <c r="G335">
        <v>80</v>
      </c>
      <c r="H335">
        <v>2019</v>
      </c>
      <c r="I335">
        <v>80</v>
      </c>
    </row>
    <row r="336" spans="1:9" x14ac:dyDescent="0.2">
      <c r="A336" t="s">
        <v>335</v>
      </c>
      <c r="B336" t="s">
        <v>79</v>
      </c>
      <c r="C336">
        <v>1877363</v>
      </c>
      <c r="D336" t="s">
        <v>336</v>
      </c>
      <c r="E336">
        <v>187868</v>
      </c>
      <c r="F336" t="s">
        <v>81</v>
      </c>
      <c r="G336">
        <v>70</v>
      </c>
      <c r="H336">
        <v>1877</v>
      </c>
      <c r="I336">
        <v>70</v>
      </c>
    </row>
    <row r="337" spans="1:9" x14ac:dyDescent="0.2">
      <c r="A337" t="s">
        <v>335</v>
      </c>
      <c r="B337" t="s">
        <v>82</v>
      </c>
      <c r="C337">
        <v>1878340</v>
      </c>
      <c r="D337" t="s">
        <v>337</v>
      </c>
      <c r="E337">
        <v>187988</v>
      </c>
      <c r="F337" t="s">
        <v>338</v>
      </c>
      <c r="G337">
        <v>113</v>
      </c>
      <c r="H337">
        <v>1878</v>
      </c>
      <c r="I337">
        <v>113</v>
      </c>
    </row>
    <row r="338" spans="1:9" x14ac:dyDescent="0.2">
      <c r="A338" t="s">
        <v>335</v>
      </c>
      <c r="B338" t="s">
        <v>85</v>
      </c>
      <c r="C338">
        <v>1879323</v>
      </c>
      <c r="D338" t="s">
        <v>339</v>
      </c>
      <c r="E338">
        <v>188083</v>
      </c>
      <c r="F338" t="s">
        <v>340</v>
      </c>
      <c r="G338">
        <v>125</v>
      </c>
      <c r="H338">
        <v>1879</v>
      </c>
      <c r="I338">
        <v>125</v>
      </c>
    </row>
    <row r="339" spans="1:9" x14ac:dyDescent="0.2">
      <c r="A339" t="s">
        <v>335</v>
      </c>
      <c r="B339" t="s">
        <v>88</v>
      </c>
      <c r="C339">
        <v>1880321</v>
      </c>
      <c r="D339" t="s">
        <v>341</v>
      </c>
      <c r="E339">
        <v>1881119</v>
      </c>
      <c r="F339" t="s">
        <v>342</v>
      </c>
      <c r="G339">
        <v>164</v>
      </c>
      <c r="H339">
        <v>1880</v>
      </c>
      <c r="I339">
        <v>164</v>
      </c>
    </row>
    <row r="340" spans="1:9" x14ac:dyDescent="0.2">
      <c r="A340" t="s">
        <v>335</v>
      </c>
      <c r="B340" t="s">
        <v>91</v>
      </c>
      <c r="C340">
        <v>1881324</v>
      </c>
      <c r="D340" t="s">
        <v>343</v>
      </c>
      <c r="E340">
        <v>188261</v>
      </c>
      <c r="F340" t="s">
        <v>344</v>
      </c>
      <c r="G340">
        <v>102</v>
      </c>
      <c r="H340">
        <v>1881</v>
      </c>
      <c r="I340">
        <v>102</v>
      </c>
    </row>
    <row r="341" spans="1:9" x14ac:dyDescent="0.2">
      <c r="A341" t="s">
        <v>335</v>
      </c>
      <c r="B341" t="s">
        <v>94</v>
      </c>
      <c r="C341">
        <v>1882336</v>
      </c>
      <c r="D341" t="s">
        <v>345</v>
      </c>
      <c r="E341">
        <v>1883100</v>
      </c>
      <c r="F341" t="s">
        <v>346</v>
      </c>
      <c r="G341">
        <v>129</v>
      </c>
      <c r="H341">
        <v>1882</v>
      </c>
      <c r="I341">
        <v>129</v>
      </c>
    </row>
    <row r="342" spans="1:9" x14ac:dyDescent="0.2">
      <c r="A342" t="s">
        <v>335</v>
      </c>
      <c r="B342" t="s">
        <v>97</v>
      </c>
      <c r="C342">
        <v>1883319</v>
      </c>
      <c r="D342" t="s">
        <v>347</v>
      </c>
      <c r="E342">
        <v>1884104</v>
      </c>
      <c r="F342" t="s">
        <v>348</v>
      </c>
      <c r="G342">
        <v>150</v>
      </c>
      <c r="H342">
        <v>1883</v>
      </c>
      <c r="I342">
        <v>150</v>
      </c>
    </row>
    <row r="343" spans="1:9" x14ac:dyDescent="0.2">
      <c r="A343" t="s">
        <v>335</v>
      </c>
      <c r="B343" t="s">
        <v>100</v>
      </c>
      <c r="C343">
        <v>1884329</v>
      </c>
      <c r="D343" t="s">
        <v>349</v>
      </c>
      <c r="E343">
        <v>1885103</v>
      </c>
      <c r="F343" t="s">
        <v>350</v>
      </c>
      <c r="G343">
        <v>140</v>
      </c>
      <c r="H343">
        <v>1884</v>
      </c>
      <c r="I343">
        <v>140</v>
      </c>
    </row>
    <row r="344" spans="1:9" x14ac:dyDescent="0.2">
      <c r="A344" t="s">
        <v>335</v>
      </c>
      <c r="B344" t="s">
        <v>103</v>
      </c>
      <c r="C344">
        <v>1885339</v>
      </c>
      <c r="D344" t="s">
        <v>351</v>
      </c>
      <c r="E344">
        <v>1886105</v>
      </c>
      <c r="F344" t="s">
        <v>352</v>
      </c>
      <c r="G344">
        <v>131</v>
      </c>
      <c r="H344">
        <v>1885</v>
      </c>
      <c r="I344">
        <v>131</v>
      </c>
    </row>
    <row r="345" spans="1:9" x14ac:dyDescent="0.2">
      <c r="A345" t="s">
        <v>335</v>
      </c>
      <c r="B345" t="s">
        <v>106</v>
      </c>
      <c r="C345">
        <v>1886328</v>
      </c>
      <c r="D345" t="s">
        <v>353</v>
      </c>
      <c r="G345">
        <v>-999</v>
      </c>
      <c r="H345">
        <v>1886</v>
      </c>
      <c r="I345">
        <v>-999</v>
      </c>
    </row>
    <row r="346" spans="1:9" x14ac:dyDescent="0.2">
      <c r="A346" t="s">
        <v>335</v>
      </c>
      <c r="B346" t="s">
        <v>109</v>
      </c>
      <c r="C346">
        <v>1887324</v>
      </c>
      <c r="D346" t="s">
        <v>354</v>
      </c>
      <c r="E346">
        <v>1888104</v>
      </c>
      <c r="F346" t="s">
        <v>316</v>
      </c>
      <c r="G346">
        <v>145</v>
      </c>
      <c r="H346">
        <v>1887</v>
      </c>
      <c r="I346">
        <v>145</v>
      </c>
    </row>
    <row r="347" spans="1:9" x14ac:dyDescent="0.2">
      <c r="A347" t="s">
        <v>335</v>
      </c>
      <c r="B347" t="s">
        <v>112</v>
      </c>
      <c r="C347">
        <v>1888347</v>
      </c>
      <c r="D347" t="s">
        <v>355</v>
      </c>
      <c r="E347">
        <v>188983</v>
      </c>
      <c r="F347" t="s">
        <v>356</v>
      </c>
      <c r="G347">
        <v>102</v>
      </c>
      <c r="H347">
        <v>1888</v>
      </c>
      <c r="I347">
        <v>102</v>
      </c>
    </row>
    <row r="348" spans="1:9" x14ac:dyDescent="0.2">
      <c r="A348" t="s">
        <v>335</v>
      </c>
      <c r="B348" t="s">
        <v>115</v>
      </c>
      <c r="E348">
        <v>189083</v>
      </c>
      <c r="F348" t="s">
        <v>357</v>
      </c>
      <c r="G348">
        <v>-999</v>
      </c>
      <c r="H348">
        <v>1889</v>
      </c>
      <c r="I348">
        <v>-999</v>
      </c>
    </row>
    <row r="349" spans="1:9" x14ac:dyDescent="0.2">
      <c r="A349" t="s">
        <v>335</v>
      </c>
      <c r="B349" t="s">
        <v>118</v>
      </c>
      <c r="C349">
        <v>1890338</v>
      </c>
      <c r="D349" t="s">
        <v>358</v>
      </c>
      <c r="G349">
        <v>-999</v>
      </c>
      <c r="H349">
        <v>1890</v>
      </c>
      <c r="I349">
        <v>-999</v>
      </c>
    </row>
    <row r="350" spans="1:9" x14ac:dyDescent="0.2">
      <c r="A350" t="s">
        <v>335</v>
      </c>
      <c r="B350" t="s">
        <v>121</v>
      </c>
      <c r="E350">
        <v>189293</v>
      </c>
      <c r="F350" t="s">
        <v>123</v>
      </c>
      <c r="G350">
        <v>-999</v>
      </c>
      <c r="H350">
        <v>1891</v>
      </c>
      <c r="I350">
        <v>-999</v>
      </c>
    </row>
    <row r="351" spans="1:9" x14ac:dyDescent="0.2">
      <c r="A351" t="s">
        <v>335</v>
      </c>
      <c r="B351" t="s">
        <v>124</v>
      </c>
      <c r="C351">
        <v>1892323</v>
      </c>
      <c r="D351" t="s">
        <v>359</v>
      </c>
      <c r="E351">
        <v>189395</v>
      </c>
      <c r="F351" t="s">
        <v>360</v>
      </c>
      <c r="G351">
        <v>138</v>
      </c>
      <c r="H351">
        <v>1892</v>
      </c>
      <c r="I351">
        <v>138</v>
      </c>
    </row>
    <row r="352" spans="1:9" x14ac:dyDescent="0.2">
      <c r="A352" t="s">
        <v>335</v>
      </c>
      <c r="B352" t="s">
        <v>127</v>
      </c>
      <c r="C352">
        <v>1893321</v>
      </c>
      <c r="D352" t="s">
        <v>361</v>
      </c>
      <c r="E352">
        <v>189469</v>
      </c>
      <c r="F352" t="s">
        <v>362</v>
      </c>
      <c r="G352">
        <v>113</v>
      </c>
      <c r="H352">
        <v>1893</v>
      </c>
      <c r="I352">
        <v>113</v>
      </c>
    </row>
    <row r="353" spans="1:9" x14ac:dyDescent="0.2">
      <c r="A353" t="s">
        <v>335</v>
      </c>
      <c r="B353" t="s">
        <v>130</v>
      </c>
      <c r="C353">
        <v>1894319</v>
      </c>
      <c r="D353" t="s">
        <v>363</v>
      </c>
      <c r="G353">
        <v>-999</v>
      </c>
      <c r="H353">
        <v>1894</v>
      </c>
      <c r="I353">
        <v>-999</v>
      </c>
    </row>
    <row r="354" spans="1:9" x14ac:dyDescent="0.2">
      <c r="A354" t="s">
        <v>335</v>
      </c>
      <c r="B354" t="s">
        <v>133</v>
      </c>
      <c r="E354">
        <v>189690</v>
      </c>
      <c r="F354" t="s">
        <v>364</v>
      </c>
      <c r="G354">
        <v>-999</v>
      </c>
      <c r="H354">
        <v>1895</v>
      </c>
      <c r="I354">
        <v>-999</v>
      </c>
    </row>
    <row r="355" spans="1:9" x14ac:dyDescent="0.2">
      <c r="A355" t="s">
        <v>335</v>
      </c>
      <c r="B355" t="s">
        <v>160</v>
      </c>
      <c r="C355">
        <v>1913306</v>
      </c>
      <c r="D355" s="1">
        <v>5055</v>
      </c>
      <c r="G355">
        <v>-999</v>
      </c>
      <c r="H355">
        <v>1913</v>
      </c>
      <c r="I355">
        <v>-999</v>
      </c>
    </row>
    <row r="356" spans="1:9" x14ac:dyDescent="0.2">
      <c r="A356" t="s">
        <v>335</v>
      </c>
      <c r="B356" t="s">
        <v>161</v>
      </c>
      <c r="C356">
        <v>1914333</v>
      </c>
      <c r="D356" s="1">
        <v>5447</v>
      </c>
      <c r="G356">
        <v>-999</v>
      </c>
      <c r="H356">
        <v>1914</v>
      </c>
      <c r="I356">
        <v>-999</v>
      </c>
    </row>
    <row r="357" spans="1:9" x14ac:dyDescent="0.2">
      <c r="A357" t="s">
        <v>335</v>
      </c>
      <c r="B357" t="s">
        <v>162</v>
      </c>
      <c r="E357">
        <v>191680</v>
      </c>
      <c r="F357" s="1">
        <v>5924</v>
      </c>
      <c r="G357">
        <v>-999</v>
      </c>
      <c r="H357">
        <v>1915</v>
      </c>
      <c r="I357">
        <v>-999</v>
      </c>
    </row>
    <row r="358" spans="1:9" x14ac:dyDescent="0.2">
      <c r="A358" t="s">
        <v>335</v>
      </c>
      <c r="B358" t="s">
        <v>163</v>
      </c>
      <c r="C358">
        <v>1916332</v>
      </c>
      <c r="D358" s="1">
        <v>6176</v>
      </c>
      <c r="G358">
        <v>-999</v>
      </c>
      <c r="H358">
        <v>1916</v>
      </c>
      <c r="I358">
        <v>-999</v>
      </c>
    </row>
    <row r="359" spans="1:9" x14ac:dyDescent="0.2">
      <c r="A359" t="s">
        <v>335</v>
      </c>
      <c r="B359" t="s">
        <v>173</v>
      </c>
      <c r="C359">
        <v>1926324</v>
      </c>
      <c r="D359" s="1">
        <v>9821</v>
      </c>
      <c r="G359">
        <v>-999</v>
      </c>
      <c r="H359">
        <v>1926</v>
      </c>
      <c r="I359">
        <v>-999</v>
      </c>
    </row>
    <row r="360" spans="1:9" x14ac:dyDescent="0.2">
      <c r="A360" t="s">
        <v>335</v>
      </c>
      <c r="B360" t="s">
        <v>174</v>
      </c>
      <c r="E360">
        <v>192884</v>
      </c>
      <c r="F360" s="1">
        <v>10311</v>
      </c>
      <c r="G360">
        <v>-999</v>
      </c>
      <c r="H360">
        <v>1927</v>
      </c>
      <c r="I360">
        <v>-999</v>
      </c>
    </row>
    <row r="361" spans="1:9" x14ac:dyDescent="0.2">
      <c r="A361" t="s">
        <v>335</v>
      </c>
      <c r="B361" t="s">
        <v>175</v>
      </c>
      <c r="C361">
        <v>1928334</v>
      </c>
      <c r="D361" s="1">
        <v>10561</v>
      </c>
      <c r="E361">
        <v>192984</v>
      </c>
      <c r="F361" s="1">
        <v>10677</v>
      </c>
      <c r="G361">
        <v>116</v>
      </c>
      <c r="H361">
        <v>1928</v>
      </c>
      <c r="I361">
        <v>116</v>
      </c>
    </row>
    <row r="362" spans="1:9" x14ac:dyDescent="0.2">
      <c r="A362" t="s">
        <v>335</v>
      </c>
      <c r="B362" t="s">
        <v>176</v>
      </c>
      <c r="C362">
        <v>1929321</v>
      </c>
      <c r="D362" s="1">
        <v>10914</v>
      </c>
      <c r="G362">
        <v>-999</v>
      </c>
      <c r="H362">
        <v>1929</v>
      </c>
      <c r="I362">
        <v>-999</v>
      </c>
    </row>
    <row r="363" spans="1:9" x14ac:dyDescent="0.2">
      <c r="A363" t="s">
        <v>335</v>
      </c>
      <c r="B363" t="s">
        <v>181</v>
      </c>
      <c r="E363">
        <v>193584</v>
      </c>
      <c r="F363" s="1">
        <v>12868</v>
      </c>
      <c r="G363">
        <v>-999</v>
      </c>
      <c r="H363">
        <v>1934</v>
      </c>
      <c r="I363">
        <v>-999</v>
      </c>
    </row>
    <row r="364" spans="1:9" x14ac:dyDescent="0.2">
      <c r="A364" t="s">
        <v>335</v>
      </c>
      <c r="B364" t="s">
        <v>182</v>
      </c>
      <c r="E364">
        <v>193684</v>
      </c>
      <c r="F364" s="1">
        <v>13233</v>
      </c>
      <c r="G364">
        <v>-999</v>
      </c>
      <c r="H364">
        <v>1935</v>
      </c>
      <c r="I364">
        <v>-999</v>
      </c>
    </row>
    <row r="365" spans="1:9" x14ac:dyDescent="0.2">
      <c r="A365" t="s">
        <v>335</v>
      </c>
      <c r="B365" t="s">
        <v>183</v>
      </c>
      <c r="E365">
        <v>1937100</v>
      </c>
      <c r="F365" s="1">
        <v>13615</v>
      </c>
      <c r="G365">
        <v>-999</v>
      </c>
      <c r="H365">
        <v>1936</v>
      </c>
      <c r="I365">
        <v>-999</v>
      </c>
    </row>
    <row r="366" spans="1:9" x14ac:dyDescent="0.2">
      <c r="A366" t="s">
        <v>335</v>
      </c>
      <c r="B366" t="s">
        <v>184</v>
      </c>
      <c r="E366">
        <v>193880</v>
      </c>
      <c r="F366" s="1">
        <v>13960</v>
      </c>
      <c r="G366">
        <v>-999</v>
      </c>
      <c r="H366">
        <v>1937</v>
      </c>
      <c r="I366">
        <v>-999</v>
      </c>
    </row>
    <row r="367" spans="1:9" x14ac:dyDescent="0.2">
      <c r="A367" t="s">
        <v>335</v>
      </c>
      <c r="B367" t="s">
        <v>185</v>
      </c>
      <c r="C367">
        <v>1938329</v>
      </c>
      <c r="D367" s="1">
        <v>14209</v>
      </c>
      <c r="E367">
        <v>193984</v>
      </c>
      <c r="F367" s="1">
        <v>14329</v>
      </c>
      <c r="G367">
        <v>120</v>
      </c>
      <c r="H367">
        <v>1938</v>
      </c>
      <c r="I367">
        <v>120</v>
      </c>
    </row>
    <row r="368" spans="1:9" x14ac:dyDescent="0.2">
      <c r="A368" t="s">
        <v>335</v>
      </c>
      <c r="B368" t="s">
        <v>186</v>
      </c>
      <c r="E368">
        <v>1940100</v>
      </c>
      <c r="F368" s="1">
        <v>14710</v>
      </c>
      <c r="G368">
        <v>-999</v>
      </c>
      <c r="H368">
        <v>1939</v>
      </c>
      <c r="I368">
        <v>-999</v>
      </c>
    </row>
    <row r="369" spans="1:9" x14ac:dyDescent="0.2">
      <c r="A369" t="s">
        <v>335</v>
      </c>
      <c r="B369" t="s">
        <v>187</v>
      </c>
      <c r="C369">
        <v>1940318</v>
      </c>
      <c r="D369" s="1">
        <v>14928</v>
      </c>
      <c r="G369">
        <v>-999</v>
      </c>
      <c r="H369">
        <v>1940</v>
      </c>
      <c r="I369">
        <v>-999</v>
      </c>
    </row>
    <row r="370" spans="1:9" x14ac:dyDescent="0.2">
      <c r="A370" t="s">
        <v>335</v>
      </c>
      <c r="B370" t="s">
        <v>190</v>
      </c>
      <c r="E370">
        <v>194484</v>
      </c>
      <c r="F370" s="1">
        <v>16155</v>
      </c>
      <c r="G370">
        <v>-999</v>
      </c>
      <c r="H370">
        <v>1943</v>
      </c>
      <c r="I370">
        <v>-999</v>
      </c>
    </row>
    <row r="371" spans="1:9" x14ac:dyDescent="0.2">
      <c r="A371" t="s">
        <v>335</v>
      </c>
      <c r="B371" t="s">
        <v>191</v>
      </c>
      <c r="C371">
        <v>1944337</v>
      </c>
      <c r="D371" s="1">
        <v>16408</v>
      </c>
      <c r="E371">
        <v>194576</v>
      </c>
      <c r="F371" s="1">
        <v>16513</v>
      </c>
      <c r="G371">
        <v>105</v>
      </c>
      <c r="H371">
        <v>1944</v>
      </c>
      <c r="I371">
        <v>105</v>
      </c>
    </row>
    <row r="372" spans="1:9" x14ac:dyDescent="0.2">
      <c r="A372" t="s">
        <v>335</v>
      </c>
      <c r="B372" t="s">
        <v>192</v>
      </c>
      <c r="C372">
        <v>1945328</v>
      </c>
      <c r="D372" s="1">
        <v>16765</v>
      </c>
      <c r="E372">
        <v>194679</v>
      </c>
      <c r="F372" s="1">
        <v>16881</v>
      </c>
      <c r="G372">
        <v>116</v>
      </c>
      <c r="H372">
        <v>1945</v>
      </c>
      <c r="I372">
        <v>116</v>
      </c>
    </row>
    <row r="373" spans="1:9" x14ac:dyDescent="0.2">
      <c r="A373" t="s">
        <v>335</v>
      </c>
      <c r="B373" t="s">
        <v>194</v>
      </c>
      <c r="E373">
        <v>194886</v>
      </c>
      <c r="F373" s="1">
        <v>17618</v>
      </c>
      <c r="G373">
        <v>-999</v>
      </c>
      <c r="H373">
        <v>1947</v>
      </c>
      <c r="I373">
        <v>-999</v>
      </c>
    </row>
    <row r="374" spans="1:9" x14ac:dyDescent="0.2">
      <c r="A374" t="s">
        <v>335</v>
      </c>
      <c r="B374" t="s">
        <v>195</v>
      </c>
      <c r="C374">
        <v>1948342</v>
      </c>
      <c r="D374" s="1">
        <v>17874</v>
      </c>
      <c r="E374">
        <v>194986</v>
      </c>
      <c r="F374" s="1">
        <v>17984</v>
      </c>
      <c r="G374">
        <v>110</v>
      </c>
      <c r="H374">
        <v>1948</v>
      </c>
      <c r="I374">
        <v>110</v>
      </c>
    </row>
    <row r="375" spans="1:9" x14ac:dyDescent="0.2">
      <c r="A375" t="s">
        <v>335</v>
      </c>
      <c r="B375" t="s">
        <v>196</v>
      </c>
      <c r="C375">
        <v>1949329</v>
      </c>
      <c r="D375" s="1">
        <v>18227</v>
      </c>
      <c r="E375">
        <v>195097</v>
      </c>
      <c r="F375" s="1">
        <v>18360</v>
      </c>
      <c r="G375">
        <v>133</v>
      </c>
      <c r="H375">
        <v>1949</v>
      </c>
      <c r="I375">
        <v>133</v>
      </c>
    </row>
    <row r="376" spans="1:9" x14ac:dyDescent="0.2">
      <c r="A376" t="s">
        <v>335</v>
      </c>
      <c r="B376" t="s">
        <v>197</v>
      </c>
      <c r="C376">
        <v>1950327</v>
      </c>
      <c r="D376" s="1">
        <v>18590</v>
      </c>
      <c r="E376">
        <v>195199</v>
      </c>
      <c r="F376" s="1">
        <v>18727</v>
      </c>
      <c r="G376">
        <v>137</v>
      </c>
      <c r="H376">
        <v>1950</v>
      </c>
      <c r="I376">
        <v>137</v>
      </c>
    </row>
    <row r="377" spans="1:9" x14ac:dyDescent="0.2">
      <c r="A377" t="s">
        <v>335</v>
      </c>
      <c r="B377" t="s">
        <v>199</v>
      </c>
      <c r="C377">
        <v>1952333</v>
      </c>
      <c r="D377" s="1">
        <v>19326</v>
      </c>
      <c r="G377">
        <v>-999</v>
      </c>
      <c r="H377">
        <v>1952</v>
      </c>
      <c r="I377">
        <v>-999</v>
      </c>
    </row>
    <row r="378" spans="1:9" x14ac:dyDescent="0.2">
      <c r="A378" t="s">
        <v>335</v>
      </c>
      <c r="B378" t="s">
        <v>205</v>
      </c>
      <c r="C378">
        <v>1958331</v>
      </c>
      <c r="D378" s="1">
        <v>21516</v>
      </c>
      <c r="G378">
        <v>-999</v>
      </c>
      <c r="H378">
        <v>1958</v>
      </c>
      <c r="I378">
        <v>-999</v>
      </c>
    </row>
    <row r="379" spans="1:9" x14ac:dyDescent="0.2">
      <c r="A379" t="s">
        <v>335</v>
      </c>
      <c r="B379" t="s">
        <v>206</v>
      </c>
      <c r="C379">
        <v>1959319</v>
      </c>
      <c r="D379" s="1">
        <v>21869</v>
      </c>
      <c r="G379">
        <v>-999</v>
      </c>
      <c r="H379">
        <v>1959</v>
      </c>
      <c r="I379">
        <v>-999</v>
      </c>
    </row>
    <row r="380" spans="1:9" x14ac:dyDescent="0.2">
      <c r="A380" t="s">
        <v>335</v>
      </c>
      <c r="B380" t="s">
        <v>209</v>
      </c>
      <c r="C380">
        <v>1962343</v>
      </c>
      <c r="D380" s="1">
        <v>22989</v>
      </c>
      <c r="E380">
        <v>196388</v>
      </c>
      <c r="F380" s="1">
        <v>23099</v>
      </c>
      <c r="G380">
        <v>110</v>
      </c>
      <c r="H380">
        <v>1962</v>
      </c>
      <c r="I380">
        <v>110</v>
      </c>
    </row>
    <row r="381" spans="1:9" x14ac:dyDescent="0.2">
      <c r="A381" t="s">
        <v>335</v>
      </c>
      <c r="B381" t="s">
        <v>215</v>
      </c>
      <c r="C381">
        <v>1968342</v>
      </c>
      <c r="D381" s="1">
        <v>25179</v>
      </c>
      <c r="E381">
        <v>196999</v>
      </c>
      <c r="F381" s="1">
        <v>25302</v>
      </c>
      <c r="G381">
        <v>123</v>
      </c>
      <c r="H381">
        <v>1968</v>
      </c>
      <c r="I381">
        <v>123</v>
      </c>
    </row>
    <row r="382" spans="1:9" x14ac:dyDescent="0.2">
      <c r="A382" t="s">
        <v>335</v>
      </c>
      <c r="B382" t="s">
        <v>216</v>
      </c>
      <c r="C382">
        <v>1969340</v>
      </c>
      <c r="D382" s="1">
        <v>25543</v>
      </c>
      <c r="E382">
        <v>197093</v>
      </c>
      <c r="F382" s="1">
        <v>25661</v>
      </c>
      <c r="G382">
        <v>118</v>
      </c>
      <c r="H382">
        <v>1969</v>
      </c>
      <c r="I382">
        <v>118</v>
      </c>
    </row>
    <row r="383" spans="1:9" x14ac:dyDescent="0.2">
      <c r="A383" t="s">
        <v>335</v>
      </c>
      <c r="B383" t="s">
        <v>217</v>
      </c>
      <c r="C383">
        <v>1970343</v>
      </c>
      <c r="D383" s="1">
        <v>25911</v>
      </c>
      <c r="E383">
        <v>1971100</v>
      </c>
      <c r="F383" s="1">
        <v>26033</v>
      </c>
      <c r="G383">
        <v>122</v>
      </c>
      <c r="H383">
        <v>1970</v>
      </c>
      <c r="I383">
        <v>122</v>
      </c>
    </row>
    <row r="384" spans="1:9" x14ac:dyDescent="0.2">
      <c r="A384" t="s">
        <v>335</v>
      </c>
      <c r="B384" t="s">
        <v>218</v>
      </c>
      <c r="C384">
        <v>1971336</v>
      </c>
      <c r="D384" s="1">
        <v>26269</v>
      </c>
      <c r="E384">
        <v>1972107</v>
      </c>
      <c r="F384" s="1">
        <v>26405</v>
      </c>
      <c r="G384">
        <v>136</v>
      </c>
      <c r="H384">
        <v>1971</v>
      </c>
      <c r="I384">
        <v>136</v>
      </c>
    </row>
    <row r="385" spans="1:9" x14ac:dyDescent="0.2">
      <c r="A385" t="s">
        <v>335</v>
      </c>
      <c r="B385" t="s">
        <v>219</v>
      </c>
      <c r="C385">
        <v>1972335</v>
      </c>
      <c r="D385" s="1">
        <v>26633</v>
      </c>
      <c r="E385">
        <v>197373</v>
      </c>
      <c r="F385" s="1">
        <v>26737</v>
      </c>
      <c r="G385">
        <v>104</v>
      </c>
      <c r="H385">
        <v>1972</v>
      </c>
      <c r="I385">
        <v>104</v>
      </c>
    </row>
    <row r="386" spans="1:9" x14ac:dyDescent="0.2">
      <c r="A386" t="s">
        <v>335</v>
      </c>
      <c r="B386" t="s">
        <v>220</v>
      </c>
      <c r="E386">
        <v>197489</v>
      </c>
      <c r="F386" s="1">
        <v>27118</v>
      </c>
      <c r="G386">
        <v>-999</v>
      </c>
      <c r="H386">
        <v>1973</v>
      </c>
      <c r="I386">
        <v>-999</v>
      </c>
    </row>
    <row r="387" spans="1:9" x14ac:dyDescent="0.2">
      <c r="A387" t="s">
        <v>335</v>
      </c>
      <c r="B387" t="s">
        <v>221</v>
      </c>
      <c r="C387">
        <v>1974343</v>
      </c>
      <c r="D387" s="1">
        <v>27372</v>
      </c>
      <c r="E387">
        <v>1975109</v>
      </c>
      <c r="F387" s="1">
        <v>27503</v>
      </c>
      <c r="G387">
        <v>131</v>
      </c>
      <c r="H387">
        <v>1974</v>
      </c>
      <c r="I387">
        <v>131</v>
      </c>
    </row>
    <row r="388" spans="1:9" x14ac:dyDescent="0.2">
      <c r="A388" t="s">
        <v>335</v>
      </c>
      <c r="B388" t="s">
        <v>222</v>
      </c>
      <c r="C388">
        <v>1975335</v>
      </c>
      <c r="D388" s="1">
        <v>27729</v>
      </c>
      <c r="E388">
        <v>197681</v>
      </c>
      <c r="F388" s="1">
        <v>27840</v>
      </c>
      <c r="G388">
        <v>108</v>
      </c>
      <c r="H388">
        <v>1975</v>
      </c>
      <c r="I388">
        <v>108</v>
      </c>
    </row>
    <row r="389" spans="1:9" x14ac:dyDescent="0.2">
      <c r="A389" t="s">
        <v>335</v>
      </c>
      <c r="B389" t="s">
        <v>223</v>
      </c>
      <c r="E389">
        <v>197774</v>
      </c>
      <c r="F389" s="1">
        <v>28199</v>
      </c>
      <c r="G389">
        <v>-999</v>
      </c>
      <c r="H389">
        <v>1976</v>
      </c>
      <c r="I389">
        <v>-999</v>
      </c>
    </row>
    <row r="390" spans="1:9" x14ac:dyDescent="0.2">
      <c r="A390" t="s">
        <v>335</v>
      </c>
      <c r="B390" t="s">
        <v>224</v>
      </c>
      <c r="C390">
        <v>1977330</v>
      </c>
      <c r="D390" s="1">
        <v>28455</v>
      </c>
      <c r="E390">
        <v>197896</v>
      </c>
      <c r="F390" s="1">
        <v>28586</v>
      </c>
      <c r="G390">
        <v>131</v>
      </c>
      <c r="H390">
        <v>1977</v>
      </c>
      <c r="I390">
        <v>131</v>
      </c>
    </row>
    <row r="391" spans="1:9" x14ac:dyDescent="0.2">
      <c r="A391" t="s">
        <v>335</v>
      </c>
      <c r="B391" t="s">
        <v>225</v>
      </c>
      <c r="C391">
        <v>1978330</v>
      </c>
      <c r="D391" s="1">
        <v>28820</v>
      </c>
      <c r="E391">
        <v>1979107</v>
      </c>
      <c r="F391" s="1">
        <v>28962</v>
      </c>
      <c r="G391">
        <v>142</v>
      </c>
      <c r="H391">
        <v>1978</v>
      </c>
      <c r="I391">
        <v>142</v>
      </c>
    </row>
    <row r="392" spans="1:9" x14ac:dyDescent="0.2">
      <c r="A392" t="s">
        <v>335</v>
      </c>
      <c r="B392" t="s">
        <v>226</v>
      </c>
      <c r="C392">
        <v>1979335</v>
      </c>
      <c r="D392" s="1">
        <v>29190</v>
      </c>
      <c r="E392">
        <v>198093</v>
      </c>
      <c r="F392" s="1">
        <v>29313</v>
      </c>
      <c r="G392">
        <v>123</v>
      </c>
      <c r="H392">
        <v>1979</v>
      </c>
      <c r="I392">
        <v>123</v>
      </c>
    </row>
    <row r="393" spans="1:9" x14ac:dyDescent="0.2">
      <c r="A393" t="s">
        <v>335</v>
      </c>
      <c r="B393" t="s">
        <v>227</v>
      </c>
      <c r="C393">
        <v>1980337</v>
      </c>
      <c r="D393" s="1">
        <v>29557</v>
      </c>
      <c r="E393">
        <v>198173</v>
      </c>
      <c r="F393" s="1">
        <v>29659</v>
      </c>
      <c r="G393">
        <v>102</v>
      </c>
      <c r="H393">
        <v>1980</v>
      </c>
      <c r="I393">
        <v>102</v>
      </c>
    </row>
    <row r="394" spans="1:9" x14ac:dyDescent="0.2">
      <c r="A394" t="s">
        <v>335</v>
      </c>
      <c r="B394" t="s">
        <v>228</v>
      </c>
      <c r="C394">
        <v>1981333</v>
      </c>
      <c r="D394" s="1">
        <v>29919</v>
      </c>
      <c r="G394">
        <v>-999</v>
      </c>
      <c r="H394">
        <v>1981</v>
      </c>
      <c r="I394">
        <v>-999</v>
      </c>
    </row>
    <row r="395" spans="1:9" x14ac:dyDescent="0.2">
      <c r="A395" t="s">
        <v>335</v>
      </c>
      <c r="B395" t="s">
        <v>229</v>
      </c>
      <c r="C395">
        <v>1982343</v>
      </c>
      <c r="D395" s="1">
        <v>30294</v>
      </c>
      <c r="E395">
        <v>198365</v>
      </c>
      <c r="F395" s="1">
        <v>30381</v>
      </c>
      <c r="G395">
        <v>87</v>
      </c>
      <c r="H395">
        <v>1982</v>
      </c>
      <c r="I395">
        <v>87</v>
      </c>
    </row>
    <row r="396" spans="1:9" x14ac:dyDescent="0.2">
      <c r="A396" t="s">
        <v>335</v>
      </c>
      <c r="B396" t="s">
        <v>230</v>
      </c>
      <c r="C396">
        <v>1983343</v>
      </c>
      <c r="D396" s="1">
        <v>30659</v>
      </c>
      <c r="E396">
        <v>198493</v>
      </c>
      <c r="F396" s="1">
        <v>30774</v>
      </c>
      <c r="G396">
        <v>115</v>
      </c>
      <c r="H396">
        <v>1983</v>
      </c>
      <c r="I396">
        <v>115</v>
      </c>
    </row>
    <row r="397" spans="1:9" x14ac:dyDescent="0.2">
      <c r="A397" t="s">
        <v>335</v>
      </c>
      <c r="B397" t="s">
        <v>231</v>
      </c>
      <c r="C397">
        <v>1984323</v>
      </c>
      <c r="D397" s="1">
        <v>31004</v>
      </c>
      <c r="E397">
        <v>198579</v>
      </c>
      <c r="F397" s="1">
        <v>31126</v>
      </c>
      <c r="G397">
        <v>110</v>
      </c>
      <c r="H397">
        <v>1984</v>
      </c>
      <c r="I397">
        <v>110</v>
      </c>
    </row>
    <row r="398" spans="1:9" x14ac:dyDescent="0.2">
      <c r="A398" t="s">
        <v>335</v>
      </c>
      <c r="B398" t="s">
        <v>232</v>
      </c>
      <c r="C398">
        <v>1985329</v>
      </c>
      <c r="D398" s="1">
        <v>31376</v>
      </c>
      <c r="E398">
        <v>198688</v>
      </c>
      <c r="F398" s="1">
        <v>31500</v>
      </c>
      <c r="G398">
        <v>124</v>
      </c>
      <c r="H398">
        <v>1985</v>
      </c>
      <c r="I398">
        <v>124</v>
      </c>
    </row>
    <row r="399" spans="1:9" x14ac:dyDescent="0.2">
      <c r="A399" t="s">
        <v>335</v>
      </c>
      <c r="B399" t="s">
        <v>233</v>
      </c>
      <c r="C399">
        <v>1986317</v>
      </c>
      <c r="D399" s="1">
        <v>31729</v>
      </c>
      <c r="E399">
        <v>198767</v>
      </c>
      <c r="F399" s="1">
        <v>31844</v>
      </c>
      <c r="G399">
        <v>115</v>
      </c>
      <c r="H399">
        <v>1986</v>
      </c>
      <c r="I399">
        <v>115</v>
      </c>
    </row>
    <row r="400" spans="1:9" x14ac:dyDescent="0.2">
      <c r="A400" t="s">
        <v>335</v>
      </c>
      <c r="B400" t="s">
        <v>234</v>
      </c>
      <c r="C400">
        <v>1987339</v>
      </c>
      <c r="D400" s="1">
        <v>32116</v>
      </c>
      <c r="E400">
        <v>198884</v>
      </c>
      <c r="F400" s="1">
        <v>32226</v>
      </c>
      <c r="G400">
        <v>102</v>
      </c>
      <c r="H400">
        <v>1987</v>
      </c>
      <c r="I400">
        <v>102</v>
      </c>
    </row>
    <row r="401" spans="1:9" x14ac:dyDescent="0.2">
      <c r="A401" t="s">
        <v>335</v>
      </c>
      <c r="B401" t="s">
        <v>235</v>
      </c>
      <c r="C401">
        <v>1988343</v>
      </c>
      <c r="D401" s="1">
        <v>32485</v>
      </c>
      <c r="E401">
        <v>198988</v>
      </c>
      <c r="F401" s="1">
        <v>32596</v>
      </c>
      <c r="G401">
        <v>111</v>
      </c>
      <c r="H401">
        <v>1988</v>
      </c>
      <c r="I401">
        <v>111</v>
      </c>
    </row>
    <row r="402" spans="1:9" x14ac:dyDescent="0.2">
      <c r="A402" t="s">
        <v>335</v>
      </c>
      <c r="B402" t="s">
        <v>236</v>
      </c>
      <c r="C402">
        <v>1989326</v>
      </c>
      <c r="D402" s="1">
        <v>32834</v>
      </c>
      <c r="E402">
        <v>199073</v>
      </c>
      <c r="F402" s="1">
        <v>32946</v>
      </c>
      <c r="G402">
        <v>112</v>
      </c>
      <c r="H402">
        <v>1989</v>
      </c>
      <c r="I402">
        <v>112</v>
      </c>
    </row>
    <row r="403" spans="1:9" x14ac:dyDescent="0.2">
      <c r="A403" t="s">
        <v>335</v>
      </c>
      <c r="B403" t="s">
        <v>237</v>
      </c>
      <c r="C403">
        <v>1990338</v>
      </c>
      <c r="D403" s="1">
        <v>33211</v>
      </c>
      <c r="E403">
        <v>199182</v>
      </c>
      <c r="F403" s="1">
        <v>33320</v>
      </c>
      <c r="G403">
        <v>109</v>
      </c>
      <c r="H403">
        <v>1990</v>
      </c>
      <c r="I403">
        <v>109</v>
      </c>
    </row>
    <row r="404" spans="1:9" x14ac:dyDescent="0.2">
      <c r="A404" t="s">
        <v>335</v>
      </c>
      <c r="B404" t="s">
        <v>238</v>
      </c>
      <c r="C404">
        <v>1991309</v>
      </c>
      <c r="D404" s="1">
        <v>33547</v>
      </c>
      <c r="E404">
        <v>199268</v>
      </c>
      <c r="F404" s="1">
        <v>33671</v>
      </c>
      <c r="G404">
        <v>124</v>
      </c>
      <c r="H404">
        <v>1991</v>
      </c>
      <c r="I404">
        <v>124</v>
      </c>
    </row>
    <row r="405" spans="1:9" x14ac:dyDescent="0.2">
      <c r="A405" t="s">
        <v>335</v>
      </c>
      <c r="B405" t="s">
        <v>239</v>
      </c>
      <c r="C405">
        <v>1992320</v>
      </c>
      <c r="D405" s="1">
        <v>33923</v>
      </c>
      <c r="E405">
        <v>199399</v>
      </c>
      <c r="F405" s="1">
        <v>34068</v>
      </c>
      <c r="G405">
        <v>135</v>
      </c>
      <c r="H405">
        <v>1992</v>
      </c>
      <c r="I405">
        <v>135</v>
      </c>
    </row>
    <row r="406" spans="1:9" x14ac:dyDescent="0.2">
      <c r="A406" t="s">
        <v>335</v>
      </c>
      <c r="B406" t="s">
        <v>240</v>
      </c>
      <c r="C406">
        <v>1993332</v>
      </c>
      <c r="D406" s="1">
        <v>34301</v>
      </c>
      <c r="E406">
        <v>199485</v>
      </c>
      <c r="F406" s="1">
        <v>34419</v>
      </c>
      <c r="G406">
        <v>103</v>
      </c>
      <c r="H406">
        <v>1993</v>
      </c>
      <c r="I406">
        <v>103</v>
      </c>
    </row>
    <row r="407" spans="1:9" x14ac:dyDescent="0.2">
      <c r="A407" t="s">
        <v>335</v>
      </c>
      <c r="B407" t="s">
        <v>241</v>
      </c>
      <c r="C407">
        <v>1994342</v>
      </c>
      <c r="D407" s="1">
        <v>34676</v>
      </c>
      <c r="E407">
        <v>199576</v>
      </c>
      <c r="F407" s="1">
        <v>34775</v>
      </c>
      <c r="G407">
        <v>99</v>
      </c>
      <c r="H407">
        <v>1994</v>
      </c>
      <c r="I407">
        <v>99</v>
      </c>
    </row>
    <row r="408" spans="1:9" x14ac:dyDescent="0.2">
      <c r="A408" t="s">
        <v>335</v>
      </c>
      <c r="B408" t="s">
        <v>242</v>
      </c>
      <c r="C408">
        <v>1995316</v>
      </c>
      <c r="D408" s="1">
        <v>35015</v>
      </c>
      <c r="E408">
        <v>199685</v>
      </c>
      <c r="F408" s="1">
        <v>35149</v>
      </c>
      <c r="G408">
        <v>134</v>
      </c>
      <c r="H408">
        <v>1995</v>
      </c>
      <c r="I408">
        <v>134</v>
      </c>
    </row>
    <row r="409" spans="1:9" x14ac:dyDescent="0.2">
      <c r="A409" t="s">
        <v>335</v>
      </c>
      <c r="B409" t="s">
        <v>243</v>
      </c>
      <c r="C409">
        <v>1996332</v>
      </c>
      <c r="D409" s="1">
        <v>35396</v>
      </c>
      <c r="E409">
        <v>199785</v>
      </c>
      <c r="F409" s="1">
        <v>35515</v>
      </c>
      <c r="G409">
        <v>119</v>
      </c>
      <c r="H409">
        <v>1996</v>
      </c>
      <c r="I409">
        <v>119</v>
      </c>
    </row>
    <row r="410" spans="1:9" x14ac:dyDescent="0.2">
      <c r="A410" t="s">
        <v>335</v>
      </c>
      <c r="B410" t="s">
        <v>244</v>
      </c>
      <c r="C410">
        <v>1997342</v>
      </c>
      <c r="D410" s="1">
        <v>35772</v>
      </c>
      <c r="E410">
        <v>199857</v>
      </c>
      <c r="F410" s="1">
        <v>35852</v>
      </c>
      <c r="G410">
        <v>80</v>
      </c>
      <c r="H410">
        <v>1997</v>
      </c>
      <c r="I410">
        <v>80</v>
      </c>
    </row>
    <row r="411" spans="1:9" x14ac:dyDescent="0.2">
      <c r="A411" t="s">
        <v>335</v>
      </c>
      <c r="B411" t="s">
        <v>245</v>
      </c>
      <c r="C411">
        <v>1998356</v>
      </c>
      <c r="D411" s="1">
        <v>36151</v>
      </c>
      <c r="E411">
        <v>199970</v>
      </c>
      <c r="F411" s="1">
        <v>36230</v>
      </c>
      <c r="G411">
        <v>79</v>
      </c>
      <c r="H411">
        <v>1998</v>
      </c>
      <c r="I411">
        <v>79</v>
      </c>
    </row>
    <row r="412" spans="1:9" x14ac:dyDescent="0.2">
      <c r="A412" t="s">
        <v>335</v>
      </c>
      <c r="B412" t="s">
        <v>246</v>
      </c>
      <c r="C412">
        <v>1999352</v>
      </c>
      <c r="D412" s="1">
        <v>36512</v>
      </c>
      <c r="E412">
        <v>200064</v>
      </c>
      <c r="F412" s="1">
        <v>36589</v>
      </c>
      <c r="G412">
        <v>77</v>
      </c>
      <c r="H412">
        <v>1999</v>
      </c>
      <c r="I412">
        <v>77</v>
      </c>
    </row>
    <row r="413" spans="1:9" x14ac:dyDescent="0.2">
      <c r="A413" t="s">
        <v>335</v>
      </c>
      <c r="B413" t="s">
        <v>247</v>
      </c>
      <c r="C413">
        <v>2000326</v>
      </c>
      <c r="D413" s="1">
        <v>36851</v>
      </c>
      <c r="E413">
        <v>200195</v>
      </c>
      <c r="F413" s="1">
        <v>36986</v>
      </c>
      <c r="G413">
        <v>135</v>
      </c>
      <c r="H413">
        <v>2000</v>
      </c>
      <c r="I413">
        <v>135</v>
      </c>
    </row>
    <row r="414" spans="1:9" x14ac:dyDescent="0.2">
      <c r="A414" t="s">
        <v>335</v>
      </c>
      <c r="B414" t="s">
        <v>248</v>
      </c>
      <c r="C414">
        <v>2001358</v>
      </c>
      <c r="D414" s="1">
        <v>37249</v>
      </c>
      <c r="E414">
        <v>200273</v>
      </c>
      <c r="F414" s="1">
        <v>37329</v>
      </c>
      <c r="G414">
        <v>80</v>
      </c>
      <c r="H414">
        <v>2001</v>
      </c>
      <c r="I414">
        <v>80</v>
      </c>
    </row>
    <row r="415" spans="1:9" x14ac:dyDescent="0.2">
      <c r="A415" t="s">
        <v>335</v>
      </c>
      <c r="B415" t="s">
        <v>249</v>
      </c>
      <c r="C415">
        <v>2002336</v>
      </c>
      <c r="D415" s="1">
        <v>37592</v>
      </c>
      <c r="E415">
        <v>200383</v>
      </c>
      <c r="F415" s="1">
        <v>37704</v>
      </c>
      <c r="G415">
        <v>112</v>
      </c>
      <c r="H415">
        <v>2002</v>
      </c>
      <c r="I415">
        <v>112</v>
      </c>
    </row>
    <row r="416" spans="1:9" x14ac:dyDescent="0.2">
      <c r="A416" t="s">
        <v>335</v>
      </c>
      <c r="B416" t="s">
        <v>250</v>
      </c>
      <c r="C416">
        <v>2003343</v>
      </c>
      <c r="D416" s="1">
        <v>37964</v>
      </c>
      <c r="E416">
        <v>200476</v>
      </c>
      <c r="F416" s="1">
        <v>38062</v>
      </c>
      <c r="G416">
        <v>98</v>
      </c>
      <c r="H416">
        <v>2003</v>
      </c>
      <c r="I416">
        <v>98</v>
      </c>
    </row>
    <row r="417" spans="1:9" x14ac:dyDescent="0.2">
      <c r="A417" t="s">
        <v>335</v>
      </c>
      <c r="B417" t="s">
        <v>251</v>
      </c>
      <c r="C417">
        <v>2004349</v>
      </c>
      <c r="D417" s="1">
        <v>38335</v>
      </c>
      <c r="E417">
        <v>200593</v>
      </c>
      <c r="F417" s="1">
        <v>38445</v>
      </c>
      <c r="G417">
        <v>110</v>
      </c>
      <c r="H417">
        <v>2004</v>
      </c>
      <c r="I417">
        <v>110</v>
      </c>
    </row>
    <row r="418" spans="1:9" x14ac:dyDescent="0.2">
      <c r="A418" t="s">
        <v>335</v>
      </c>
      <c r="B418" t="s">
        <v>252</v>
      </c>
      <c r="C418">
        <v>2005329</v>
      </c>
      <c r="D418" s="1">
        <v>38681</v>
      </c>
      <c r="E418">
        <v>200673</v>
      </c>
      <c r="F418" s="1">
        <v>38790</v>
      </c>
      <c r="G418">
        <v>104</v>
      </c>
      <c r="H418">
        <v>2005</v>
      </c>
      <c r="I418">
        <v>104</v>
      </c>
    </row>
    <row r="419" spans="1:9" x14ac:dyDescent="0.2">
      <c r="A419" t="s">
        <v>335</v>
      </c>
      <c r="B419" t="s">
        <v>253</v>
      </c>
      <c r="C419">
        <v>2006337</v>
      </c>
      <c r="D419" s="1">
        <v>39054</v>
      </c>
      <c r="E419">
        <v>200784</v>
      </c>
      <c r="F419" s="1">
        <v>39166</v>
      </c>
      <c r="G419">
        <v>106</v>
      </c>
      <c r="H419">
        <v>2006</v>
      </c>
      <c r="I419">
        <v>106</v>
      </c>
    </row>
    <row r="420" spans="1:9" x14ac:dyDescent="0.2">
      <c r="A420" t="s">
        <v>335</v>
      </c>
      <c r="B420" t="s">
        <v>254</v>
      </c>
      <c r="C420">
        <v>2007334</v>
      </c>
      <c r="D420" s="1">
        <v>39416</v>
      </c>
      <c r="E420">
        <v>200897</v>
      </c>
      <c r="F420" s="1">
        <v>39544</v>
      </c>
      <c r="G420">
        <v>128</v>
      </c>
      <c r="H420">
        <v>2007</v>
      </c>
      <c r="I420">
        <v>128</v>
      </c>
    </row>
    <row r="421" spans="1:9" x14ac:dyDescent="0.2">
      <c r="A421" t="s">
        <v>335</v>
      </c>
      <c r="B421" t="s">
        <v>255</v>
      </c>
      <c r="C421">
        <v>2008327</v>
      </c>
      <c r="D421" s="1">
        <v>39774</v>
      </c>
      <c r="E421">
        <v>200977</v>
      </c>
      <c r="F421" s="1">
        <v>39890</v>
      </c>
      <c r="G421">
        <v>116</v>
      </c>
      <c r="H421">
        <v>2008</v>
      </c>
      <c r="I421">
        <v>116</v>
      </c>
    </row>
    <row r="422" spans="1:9" x14ac:dyDescent="0.2">
      <c r="A422" t="s">
        <v>335</v>
      </c>
      <c r="B422" t="s">
        <v>256</v>
      </c>
      <c r="C422">
        <v>2009344</v>
      </c>
      <c r="D422" s="1">
        <v>40157</v>
      </c>
      <c r="E422">
        <v>201085</v>
      </c>
      <c r="F422" s="1">
        <v>40263</v>
      </c>
      <c r="G422">
        <v>106</v>
      </c>
      <c r="H422">
        <v>2009</v>
      </c>
      <c r="I422">
        <v>106</v>
      </c>
    </row>
    <row r="423" spans="1:9" x14ac:dyDescent="0.2">
      <c r="A423" t="s">
        <v>335</v>
      </c>
      <c r="B423" t="s">
        <v>257</v>
      </c>
      <c r="C423">
        <v>2010338</v>
      </c>
      <c r="D423" s="1">
        <v>40516</v>
      </c>
      <c r="E423">
        <v>201191</v>
      </c>
      <c r="F423" s="1">
        <v>40634</v>
      </c>
      <c r="G423">
        <v>119</v>
      </c>
      <c r="H423">
        <v>2010</v>
      </c>
      <c r="I423">
        <v>119</v>
      </c>
    </row>
    <row r="424" spans="1:9" x14ac:dyDescent="0.2">
      <c r="A424" t="s">
        <v>335</v>
      </c>
      <c r="B424" t="s">
        <v>258</v>
      </c>
      <c r="C424">
        <v>2011345</v>
      </c>
      <c r="D424" s="1">
        <v>40888</v>
      </c>
      <c r="E424">
        <v>201268</v>
      </c>
      <c r="F424" s="1">
        <v>40976</v>
      </c>
      <c r="G424">
        <v>86</v>
      </c>
      <c r="H424">
        <v>2011</v>
      </c>
      <c r="I424">
        <v>86</v>
      </c>
    </row>
    <row r="425" spans="1:9" x14ac:dyDescent="0.2">
      <c r="A425" t="s">
        <v>335</v>
      </c>
      <c r="B425" t="s">
        <v>259</v>
      </c>
      <c r="C425">
        <v>2012356</v>
      </c>
      <c r="D425" s="1">
        <v>41264</v>
      </c>
      <c r="E425">
        <v>201399</v>
      </c>
      <c r="F425" s="1">
        <v>41373</v>
      </c>
      <c r="G425">
        <v>109</v>
      </c>
      <c r="H425">
        <v>2012</v>
      </c>
      <c r="I425">
        <v>109</v>
      </c>
    </row>
    <row r="426" spans="1:9" x14ac:dyDescent="0.2">
      <c r="A426" t="s">
        <v>335</v>
      </c>
      <c r="B426" t="s">
        <v>260</v>
      </c>
      <c r="C426">
        <v>2013331</v>
      </c>
      <c r="D426" s="1">
        <v>41605</v>
      </c>
      <c r="E426">
        <v>201499</v>
      </c>
      <c r="F426" s="1">
        <v>41738</v>
      </c>
      <c r="G426">
        <v>133</v>
      </c>
      <c r="H426">
        <v>2013</v>
      </c>
      <c r="I426">
        <v>133</v>
      </c>
    </row>
    <row r="427" spans="1:9" x14ac:dyDescent="0.2">
      <c r="A427" t="s">
        <v>335</v>
      </c>
      <c r="B427" t="s">
        <v>261</v>
      </c>
      <c r="C427">
        <v>2014318</v>
      </c>
      <c r="D427" s="1">
        <v>41957</v>
      </c>
      <c r="E427">
        <v>201580</v>
      </c>
      <c r="F427" s="1">
        <v>42084</v>
      </c>
      <c r="G427">
        <v>127</v>
      </c>
      <c r="H427">
        <v>2014</v>
      </c>
      <c r="I427">
        <v>127</v>
      </c>
    </row>
    <row r="428" spans="1:9" x14ac:dyDescent="0.2">
      <c r="A428" t="s">
        <v>335</v>
      </c>
      <c r="B428" t="s">
        <v>262</v>
      </c>
      <c r="C428">
        <v>2015364</v>
      </c>
      <c r="D428" s="1">
        <v>42368</v>
      </c>
      <c r="E428">
        <v>201668</v>
      </c>
      <c r="F428" s="1">
        <v>42437</v>
      </c>
      <c r="G428">
        <v>69</v>
      </c>
      <c r="H428">
        <v>2015</v>
      </c>
      <c r="I428">
        <v>69</v>
      </c>
    </row>
    <row r="429" spans="1:9" x14ac:dyDescent="0.2">
      <c r="A429" t="s">
        <v>335</v>
      </c>
      <c r="B429" t="s">
        <v>263</v>
      </c>
      <c r="C429">
        <v>2016344</v>
      </c>
      <c r="D429" s="1">
        <v>42713</v>
      </c>
      <c r="E429">
        <v>201758</v>
      </c>
      <c r="F429" s="1">
        <v>42793</v>
      </c>
      <c r="G429">
        <v>79</v>
      </c>
      <c r="H429">
        <v>2016</v>
      </c>
      <c r="I429">
        <v>79</v>
      </c>
    </row>
    <row r="430" spans="1:9" x14ac:dyDescent="0.2">
      <c r="A430" t="s">
        <v>335</v>
      </c>
      <c r="B430" t="s">
        <v>264</v>
      </c>
      <c r="C430">
        <v>2017344</v>
      </c>
      <c r="D430" s="1">
        <v>43079</v>
      </c>
      <c r="E430">
        <v>201883</v>
      </c>
      <c r="F430" s="1">
        <v>43183</v>
      </c>
      <c r="G430">
        <v>104</v>
      </c>
      <c r="H430">
        <v>2017</v>
      </c>
      <c r="I430">
        <v>104</v>
      </c>
    </row>
    <row r="431" spans="1:9" x14ac:dyDescent="0.2">
      <c r="A431" t="s">
        <v>335</v>
      </c>
      <c r="B431" t="s">
        <v>265</v>
      </c>
      <c r="C431">
        <v>2018341</v>
      </c>
      <c r="D431" s="1">
        <v>43441</v>
      </c>
      <c r="E431">
        <v>201987</v>
      </c>
      <c r="F431" s="1">
        <v>43552</v>
      </c>
      <c r="G431">
        <v>111</v>
      </c>
      <c r="H431">
        <v>2018</v>
      </c>
      <c r="I431">
        <v>111</v>
      </c>
    </row>
    <row r="432" spans="1:9" x14ac:dyDescent="0.2">
      <c r="A432" t="s">
        <v>335</v>
      </c>
      <c r="B432" t="s">
        <v>266</v>
      </c>
      <c r="C432">
        <v>2019316</v>
      </c>
      <c r="D432" s="1">
        <v>43781</v>
      </c>
      <c r="E432">
        <v>202072</v>
      </c>
      <c r="F432" s="1">
        <v>43902</v>
      </c>
      <c r="G432">
        <v>119</v>
      </c>
      <c r="H432">
        <v>2019</v>
      </c>
      <c r="I432">
        <v>119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NTL Ice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2022-08-29T15:11:24Z</dcterms:created>
  <dcterms:modified xsi:type="dcterms:W3CDTF">2022-09-02T15:29:42Z</dcterms:modified>
</cp:coreProperties>
</file>